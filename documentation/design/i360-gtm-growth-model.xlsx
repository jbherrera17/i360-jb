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cy-Led Growth" sheetId="1" state="visible" r:id="rId1"/>
    <sheet xmlns:r="http://schemas.openxmlformats.org/officeDocument/2006/relationships" name="Content-Led Growth" sheetId="2" state="visible" r:id="rId2"/>
    <sheet xmlns:r="http://schemas.openxmlformats.org/officeDocument/2006/relationships" name="Partner-Enabled Enterprise" sheetId="3" state="visible" r:id="rId3"/>
    <sheet xmlns:r="http://schemas.openxmlformats.org/officeDocument/2006/relationships" name="Combined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8">
    <font>
      <name val="Calibri"/>
      <family val="2"/>
      <color theme="1"/>
      <sz val="11"/>
      <scheme val="minor"/>
    </font>
    <font>
      <b val="1"/>
      <color rgb="001A1A2E"/>
      <sz val="14"/>
    </font>
    <font>
      <i val="1"/>
      <color rgb="00666666"/>
    </font>
    <font>
      <b val="1"/>
      <color rgb="0016213E"/>
      <sz val="12"/>
    </font>
    <font>
      <b val="1"/>
    </font>
    <font>
      <color rgb="000000FF"/>
    </font>
    <font>
      <b val="1"/>
      <color rgb="00FFFFFF"/>
      <sz val="11"/>
    </font>
    <font/>
  </fonts>
  <fills count="6">
    <fill>
      <patternFill/>
    </fill>
    <fill>
      <patternFill patternType="gray125"/>
    </fill>
    <fill>
      <patternFill patternType="solid">
        <fgColor rgb="00E8EAF6"/>
      </patternFill>
    </fill>
    <fill>
      <patternFill patternType="solid">
        <fgColor rgb="00FFF9C4"/>
      </patternFill>
    </fill>
    <fill>
      <patternFill patternType="solid">
        <fgColor rgb="001A1A2E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horizontal="left" vertical="center"/>
    </xf>
    <xf numFmtId="3" fontId="5" fillId="3" borderId="0" pivotButton="0" quotePrefix="0" xfId="0"/>
    <xf numFmtId="164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4" fillId="0" borderId="1" pivotButton="0" quotePrefix="0" xfId="0"/>
    <xf numFmtId="3" fontId="5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0" fontId="7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4" fillId="0" borderId="0" pivotButton="0" quotePrefix="0" xfId="0"/>
    <xf numFmtId="165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MOTION A: AGENCY-LED GROWTH MODEL</t>
        </is>
      </c>
    </row>
    <row r="2">
      <c r="A2" s="2" t="inlineStr">
        <is>
          <t>Insight 360 Go-to-Market — Month-by-Month Projections (Year 1)</t>
        </is>
      </c>
    </row>
    <row r="4">
      <c r="A4" s="3" t="inlineStr">
        <is>
          <t>ASSUMPTIONS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Agency base price (monthly)</t>
        </is>
      </c>
      <c r="B5" s="6" t="n">
        <v>499</v>
      </c>
    </row>
    <row r="6">
      <c r="A6" s="5" t="inlineStr">
        <is>
          <t>Avg integration add-ons per agency</t>
        </is>
      </c>
      <c r="B6" s="6" t="n">
        <v>200</v>
      </c>
    </row>
    <row r="7">
      <c r="A7" s="5" t="inlineStr">
        <is>
          <t>Avg clients per agency (ramping)</t>
        </is>
      </c>
    </row>
    <row r="8">
      <c r="A8" s="5" t="inlineStr">
        <is>
          <t>Avg revenue per client (monthly)</t>
        </is>
      </c>
      <c r="B8" s="6" t="n">
        <v>3000</v>
      </c>
    </row>
    <row r="9">
      <c r="A9" s="5" t="inlineStr">
        <is>
          <t>Agency churn rate (monthly)</t>
        </is>
      </c>
      <c r="B9" s="7" t="n">
        <v>0.02</v>
      </c>
    </row>
    <row r="10">
      <c r="A10" s="5" t="inlineStr">
        <is>
          <t>New agencies per month (soft launch M1-2)</t>
        </is>
      </c>
      <c r="B10" s="6" t="n">
        <v>5</v>
      </c>
    </row>
    <row r="11">
      <c r="A11" s="5" t="inlineStr">
        <is>
          <t>New agencies per month (post-launch M3-6)</t>
        </is>
      </c>
      <c r="B11" s="6" t="n">
        <v>8</v>
      </c>
    </row>
    <row r="12">
      <c r="A12" s="5" t="inlineStr">
        <is>
          <t>New agencies per month (scale M7-12)</t>
        </is>
      </c>
      <c r="B12" s="6" t="n">
        <v>12</v>
      </c>
    </row>
    <row r="13">
      <c r="A13" s="5" t="inlineStr">
        <is>
          <t>Certification revenue per new agency</t>
        </is>
      </c>
      <c r="B13" s="6" t="n">
        <v>1500</v>
      </c>
    </row>
    <row r="14">
      <c r="A14" s="5" t="inlineStr">
        <is>
          <t>Implementation revenue per new agency</t>
        </is>
      </c>
      <c r="B14" s="6" t="n">
        <v>8000</v>
      </c>
    </row>
    <row r="16">
      <c r="A16" s="3" t="inlineStr">
        <is>
          <t>MONTHLY PROJECTIONS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8" t="inlineStr">
        <is>
          <t>Metric</t>
        </is>
      </c>
      <c r="B17" s="8" t="inlineStr">
        <is>
          <t>Month 1</t>
        </is>
      </c>
      <c r="C17" s="8" t="inlineStr">
        <is>
          <t>Month 2</t>
        </is>
      </c>
      <c r="D17" s="8" t="inlineStr">
        <is>
          <t>Month 3</t>
        </is>
      </c>
      <c r="E17" s="8" t="inlineStr">
        <is>
          <t>Month 4</t>
        </is>
      </c>
      <c r="F17" s="8" t="inlineStr">
        <is>
          <t>Month 5</t>
        </is>
      </c>
      <c r="G17" s="8" t="inlineStr">
        <is>
          <t>Month 6</t>
        </is>
      </c>
      <c r="H17" s="8" t="inlineStr">
        <is>
          <t>Month 7</t>
        </is>
      </c>
      <c r="I17" s="8" t="inlineStr">
        <is>
          <t>Month 8</t>
        </is>
      </c>
      <c r="J17" s="8" t="inlineStr">
        <is>
          <t>Month 9</t>
        </is>
      </c>
      <c r="K17" s="8" t="inlineStr">
        <is>
          <t>Month 10</t>
        </is>
      </c>
      <c r="L17" s="8" t="inlineStr">
        <is>
          <t>Month 11</t>
        </is>
      </c>
      <c r="M17" s="8" t="inlineStr">
        <is>
          <t>Month 12</t>
        </is>
      </c>
      <c r="N17" s="8" t="inlineStr">
        <is>
          <t>TOTAL Y1</t>
        </is>
      </c>
    </row>
    <row r="18">
      <c r="A18" s="9" t="inlineStr">
        <is>
          <t>New Agencies Signed</t>
        </is>
      </c>
      <c r="B18" s="10" t="n">
        <v>5</v>
      </c>
      <c r="C18" s="10" t="n">
        <v>5</v>
      </c>
      <c r="D18" s="10" t="n">
        <v>8</v>
      </c>
      <c r="E18" s="10" t="n">
        <v>8</v>
      </c>
      <c r="F18" s="10" t="n">
        <v>8</v>
      </c>
      <c r="G18" s="10" t="n">
        <v>8</v>
      </c>
      <c r="H18" s="10" t="n">
        <v>12</v>
      </c>
      <c r="I18" s="10" t="n">
        <v>12</v>
      </c>
      <c r="J18" s="10" t="n">
        <v>12</v>
      </c>
      <c r="K18" s="10" t="n">
        <v>12</v>
      </c>
      <c r="L18" s="10" t="n">
        <v>12</v>
      </c>
      <c r="M18" s="10" t="n">
        <v>12</v>
      </c>
      <c r="N18" s="11">
        <f>SUM(B18:M18)</f>
        <v/>
      </c>
    </row>
    <row r="19">
      <c r="A19" s="9" t="inlineStr">
        <is>
          <t>Cumulative Agencies (net churn)</t>
        </is>
      </c>
      <c r="B19" s="11">
        <f>B18</f>
        <v/>
      </c>
      <c r="C19" s="11">
        <f>ROUND(B19*(1-$B$9)+C18,0)</f>
        <v/>
      </c>
      <c r="D19" s="11">
        <f>ROUND(C19*(1-$B$9)+D18,0)</f>
        <v/>
      </c>
      <c r="E19" s="11">
        <f>ROUND(D19*(1-$B$9)+E18,0)</f>
        <v/>
      </c>
      <c r="F19" s="11">
        <f>ROUND(E19*(1-$B$9)+F18,0)</f>
        <v/>
      </c>
      <c r="G19" s="11">
        <f>ROUND(F19*(1-$B$9)+G18,0)</f>
        <v/>
      </c>
      <c r="H19" s="11">
        <f>ROUND(G19*(1-$B$9)+H18,0)</f>
        <v/>
      </c>
      <c r="I19" s="11">
        <f>ROUND(H19*(1-$B$9)+I18,0)</f>
        <v/>
      </c>
      <c r="J19" s="11">
        <f>ROUND(I19*(1-$B$9)+J18,0)</f>
        <v/>
      </c>
      <c r="K19" s="11">
        <f>ROUND(J19*(1-$B$9)+K18,0)</f>
        <v/>
      </c>
      <c r="L19" s="11">
        <f>ROUND(K19*(1-$B$9)+L18,0)</f>
        <v/>
      </c>
      <c r="M19" s="11">
        <f>ROUND(L19*(1-$B$9)+M18,0)</f>
        <v/>
      </c>
      <c r="N19" s="11">
        <f>M19</f>
        <v/>
      </c>
    </row>
    <row r="20">
      <c r="A20" s="9" t="inlineStr">
        <is>
          <t>Platform MRR (agencies)</t>
        </is>
      </c>
      <c r="B20" s="11">
        <f>B19*$B$5</f>
        <v/>
      </c>
      <c r="C20" s="11">
        <f>C19*$B$5</f>
        <v/>
      </c>
      <c r="D20" s="11">
        <f>D19*$B$5</f>
        <v/>
      </c>
      <c r="E20" s="11">
        <f>E19*$B$5</f>
        <v/>
      </c>
      <c r="F20" s="11">
        <f>F19*$B$5</f>
        <v/>
      </c>
      <c r="G20" s="11">
        <f>G19*$B$5</f>
        <v/>
      </c>
      <c r="H20" s="11">
        <f>H19*$B$5</f>
        <v/>
      </c>
      <c r="I20" s="11">
        <f>I19*$B$5</f>
        <v/>
      </c>
      <c r="J20" s="11">
        <f>J19*$B$5</f>
        <v/>
      </c>
      <c r="K20" s="11">
        <f>K19*$B$5</f>
        <v/>
      </c>
      <c r="L20" s="11">
        <f>L19*$B$5</f>
        <v/>
      </c>
      <c r="M20" s="11">
        <f>M19*$B$5</f>
        <v/>
      </c>
      <c r="N20" s="11">
        <f>SUM(B20:M20)</f>
        <v/>
      </c>
    </row>
    <row r="21">
      <c r="A21" s="9" t="inlineStr">
        <is>
          <t>Integration Add-On MRR</t>
        </is>
      </c>
      <c r="B21" s="11">
        <f>B19*$B$6</f>
        <v/>
      </c>
      <c r="C21" s="11">
        <f>C19*$B$6</f>
        <v/>
      </c>
      <c r="D21" s="11">
        <f>D19*$B$6</f>
        <v/>
      </c>
      <c r="E21" s="11">
        <f>E19*$B$6</f>
        <v/>
      </c>
      <c r="F21" s="11">
        <f>F19*$B$6</f>
        <v/>
      </c>
      <c r="G21" s="11">
        <f>G19*$B$6</f>
        <v/>
      </c>
      <c r="H21" s="11">
        <f>H19*$B$6</f>
        <v/>
      </c>
      <c r="I21" s="11">
        <f>I19*$B$6</f>
        <v/>
      </c>
      <c r="J21" s="11">
        <f>J19*$B$6</f>
        <v/>
      </c>
      <c r="K21" s="11">
        <f>K19*$B$6</f>
        <v/>
      </c>
      <c r="L21" s="11">
        <f>L19*$B$6</f>
        <v/>
      </c>
      <c r="M21" s="11">
        <f>M19*$B$6</f>
        <v/>
      </c>
      <c r="N21" s="11">
        <f>SUM(B21:M21)</f>
        <v/>
      </c>
    </row>
    <row r="22">
      <c r="A22" s="9" t="inlineStr">
        <is>
          <t>Total Platform MRR</t>
        </is>
      </c>
      <c r="B22" s="12">
        <f>B20+B21</f>
        <v/>
      </c>
      <c r="C22" s="12">
        <f>C20+C21</f>
        <v/>
      </c>
      <c r="D22" s="12">
        <f>D20+D21</f>
        <v/>
      </c>
      <c r="E22" s="12">
        <f>E20+E21</f>
        <v/>
      </c>
      <c r="F22" s="12">
        <f>F20+F21</f>
        <v/>
      </c>
      <c r="G22" s="12">
        <f>G20+G21</f>
        <v/>
      </c>
      <c r="H22" s="12">
        <f>H20+H21</f>
        <v/>
      </c>
      <c r="I22" s="12">
        <f>I20+I21</f>
        <v/>
      </c>
      <c r="J22" s="12">
        <f>J20+J21</f>
        <v/>
      </c>
      <c r="K22" s="12">
        <f>K20+K21</f>
        <v/>
      </c>
      <c r="L22" s="12">
        <f>L20+L21</f>
        <v/>
      </c>
      <c r="M22" s="12">
        <f>M20+M21</f>
        <v/>
      </c>
      <c r="N22" s="12">
        <f>SUM(B22:M22)</f>
        <v/>
      </c>
    </row>
    <row r="23">
      <c r="A23" s="13" t="inlineStr"/>
    </row>
    <row r="24">
      <c r="A24" s="9" t="inlineStr">
        <is>
          <t>Avg Clients per Agency (ramping)</t>
        </is>
      </c>
      <c r="B24" s="10" t="n">
        <v>3</v>
      </c>
      <c r="C24" s="10" t="n">
        <v>5</v>
      </c>
      <c r="D24" s="10" t="n">
        <v>7</v>
      </c>
      <c r="E24" s="10" t="n">
        <v>9</v>
      </c>
      <c r="F24" s="10" t="n">
        <v>11</v>
      </c>
      <c r="G24" s="10" t="n">
        <v>13</v>
      </c>
      <c r="H24" s="10" t="n">
        <v>15</v>
      </c>
      <c r="I24" s="10" t="n">
        <v>16</v>
      </c>
      <c r="J24" s="10" t="n">
        <v>17</v>
      </c>
      <c r="K24" s="10" t="n">
        <v>18</v>
      </c>
      <c r="L24" s="10" t="n">
        <v>19</v>
      </c>
      <c r="M24" s="10" t="n">
        <v>20</v>
      </c>
      <c r="N24" s="14" t="n"/>
    </row>
    <row r="25">
      <c r="A25" s="9" t="inlineStr">
        <is>
          <t>Total Client Engagements</t>
        </is>
      </c>
      <c r="B25" s="11">
        <f>B19*B24</f>
        <v/>
      </c>
      <c r="C25" s="11">
        <f>C19*C24</f>
        <v/>
      </c>
      <c r="D25" s="11">
        <f>D19*D24</f>
        <v/>
      </c>
      <c r="E25" s="11">
        <f>E19*E24</f>
        <v/>
      </c>
      <c r="F25" s="11">
        <f>F19*F24</f>
        <v/>
      </c>
      <c r="G25" s="11">
        <f>G19*G24</f>
        <v/>
      </c>
      <c r="H25" s="11">
        <f>H19*H24</f>
        <v/>
      </c>
      <c r="I25" s="11">
        <f>I19*I24</f>
        <v/>
      </c>
      <c r="J25" s="11">
        <f>J19*J24</f>
        <v/>
      </c>
      <c r="K25" s="11">
        <f>K19*K24</f>
        <v/>
      </c>
      <c r="L25" s="11">
        <f>L19*L24</f>
        <v/>
      </c>
      <c r="M25" s="11">
        <f>M19*M24</f>
        <v/>
      </c>
      <c r="N25" s="11">
        <f>M25</f>
        <v/>
      </c>
    </row>
    <row r="26">
      <c r="A26" s="9" t="inlineStr">
        <is>
          <t>Avg Client Revenue to Agency</t>
        </is>
      </c>
      <c r="B26" s="11">
        <f>$B$8</f>
        <v/>
      </c>
      <c r="C26" s="11">
        <f>$B$8</f>
        <v/>
      </c>
      <c r="D26" s="11">
        <f>$B$8</f>
        <v/>
      </c>
      <c r="E26" s="11">
        <f>$B$8</f>
        <v/>
      </c>
      <c r="F26" s="11">
        <f>$B$8</f>
        <v/>
      </c>
      <c r="G26" s="11">
        <f>$B$8</f>
        <v/>
      </c>
      <c r="H26" s="11">
        <f>$B$8</f>
        <v/>
      </c>
      <c r="I26" s="11">
        <f>$B$8</f>
        <v/>
      </c>
      <c r="J26" s="11">
        <f>$B$8</f>
        <v/>
      </c>
      <c r="K26" s="11">
        <f>$B$8</f>
        <v/>
      </c>
      <c r="L26" s="11">
        <f>$B$8</f>
        <v/>
      </c>
      <c r="M26" s="11">
        <f>$B$8</f>
        <v/>
      </c>
      <c r="N26" s="14" t="n"/>
    </row>
    <row r="27">
      <c r="A27" s="9" t="inlineStr">
        <is>
          <t>Total Agency Client Revenue (ecosystem)</t>
        </is>
      </c>
      <c r="B27" s="11">
        <f>B25*B26</f>
        <v/>
      </c>
      <c r="C27" s="11">
        <f>C25*C26</f>
        <v/>
      </c>
      <c r="D27" s="11">
        <f>D25*D26</f>
        <v/>
      </c>
      <c r="E27" s="11">
        <f>E25*E26</f>
        <v/>
      </c>
      <c r="F27" s="11">
        <f>F25*F26</f>
        <v/>
      </c>
      <c r="G27" s="11">
        <f>G25*G26</f>
        <v/>
      </c>
      <c r="H27" s="11">
        <f>H25*H26</f>
        <v/>
      </c>
      <c r="I27" s="11">
        <f>I25*I26</f>
        <v/>
      </c>
      <c r="J27" s="11">
        <f>J25*J26</f>
        <v/>
      </c>
      <c r="K27" s="11">
        <f>K25*K26</f>
        <v/>
      </c>
      <c r="L27" s="11">
        <f>L25*L26</f>
        <v/>
      </c>
      <c r="M27" s="11">
        <f>M25*M26</f>
        <v/>
      </c>
      <c r="N27" s="11">
        <f>SUM(B27:M27)</f>
        <v/>
      </c>
    </row>
    <row r="28">
      <c r="A28" s="13" t="inlineStr"/>
    </row>
    <row r="29">
      <c r="A29" s="9" t="inlineStr">
        <is>
          <t>Certification Revenue</t>
        </is>
      </c>
      <c r="B29" s="11">
        <f>B18*$B$13</f>
        <v/>
      </c>
      <c r="C29" s="11">
        <f>C18*$B$13</f>
        <v/>
      </c>
      <c r="D29" s="11">
        <f>D18*$B$13</f>
        <v/>
      </c>
      <c r="E29" s="11">
        <f>E18*$B$13</f>
        <v/>
      </c>
      <c r="F29" s="11">
        <f>F18*$B$13</f>
        <v/>
      </c>
      <c r="G29" s="11">
        <f>G18*$B$13</f>
        <v/>
      </c>
      <c r="H29" s="11">
        <f>H18*$B$13</f>
        <v/>
      </c>
      <c r="I29" s="11">
        <f>I18*$B$13</f>
        <v/>
      </c>
      <c r="J29" s="11">
        <f>J18*$B$13</f>
        <v/>
      </c>
      <c r="K29" s="11">
        <f>K18*$B$13</f>
        <v/>
      </c>
      <c r="L29" s="11">
        <f>L18*$B$13</f>
        <v/>
      </c>
      <c r="M29" s="11">
        <f>M18*$B$13</f>
        <v/>
      </c>
      <c r="N29" s="11">
        <f>SUM(B29:M29)</f>
        <v/>
      </c>
    </row>
    <row r="30">
      <c r="A30" s="9" t="inlineStr">
        <is>
          <t>Implementation Revenue</t>
        </is>
      </c>
      <c r="B30" s="11">
        <f>B18*$B$14</f>
        <v/>
      </c>
      <c r="C30" s="11">
        <f>C18*$B$14</f>
        <v/>
      </c>
      <c r="D30" s="11">
        <f>D18*$B$14</f>
        <v/>
      </c>
      <c r="E30" s="11">
        <f>E18*$B$14</f>
        <v/>
      </c>
      <c r="F30" s="11">
        <f>F18*$B$14</f>
        <v/>
      </c>
      <c r="G30" s="11">
        <f>G18*$B$14</f>
        <v/>
      </c>
      <c r="H30" s="11">
        <f>H18*$B$14</f>
        <v/>
      </c>
      <c r="I30" s="11">
        <f>I18*$B$14</f>
        <v/>
      </c>
      <c r="J30" s="11">
        <f>J18*$B$14</f>
        <v/>
      </c>
      <c r="K30" s="11">
        <f>K18*$B$14</f>
        <v/>
      </c>
      <c r="L30" s="11">
        <f>L18*$B$14</f>
        <v/>
      </c>
      <c r="M30" s="11">
        <f>M18*$B$14</f>
        <v/>
      </c>
      <c r="N30" s="11">
        <f>SUM(B30:M30)</f>
        <v/>
      </c>
    </row>
    <row r="31">
      <c r="A31" s="9" t="inlineStr">
        <is>
          <t>Total Services Revenue</t>
        </is>
      </c>
      <c r="B31" s="12">
        <f>B29+B30</f>
        <v/>
      </c>
      <c r="C31" s="12">
        <f>C29+C30</f>
        <v/>
      </c>
      <c r="D31" s="12">
        <f>D29+D30</f>
        <v/>
      </c>
      <c r="E31" s="12">
        <f>E29+E30</f>
        <v/>
      </c>
      <c r="F31" s="12">
        <f>F29+F30</f>
        <v/>
      </c>
      <c r="G31" s="12">
        <f>G29+G30</f>
        <v/>
      </c>
      <c r="H31" s="12">
        <f>H29+H30</f>
        <v/>
      </c>
      <c r="I31" s="12">
        <f>I29+I30</f>
        <v/>
      </c>
      <c r="J31" s="12">
        <f>J29+J30</f>
        <v/>
      </c>
      <c r="K31" s="12">
        <f>K29+K30</f>
        <v/>
      </c>
      <c r="L31" s="12">
        <f>L29+L30</f>
        <v/>
      </c>
      <c r="M31" s="12">
        <f>M29+M30</f>
        <v/>
      </c>
      <c r="N31" s="12">
        <f>SUM(B31:M31)</f>
        <v/>
      </c>
    </row>
    <row r="32">
      <c r="A32" s="13" t="inlineStr"/>
    </row>
    <row r="33">
      <c r="A33" s="9" t="inlineStr">
        <is>
          <t>i360 Recurring Revenue (MRR)</t>
        </is>
      </c>
      <c r="B33" s="11">
        <f>B22</f>
        <v/>
      </c>
      <c r="C33" s="11">
        <f>C22</f>
        <v/>
      </c>
      <c r="D33" s="11">
        <f>D22</f>
        <v/>
      </c>
      <c r="E33" s="11">
        <f>E22</f>
        <v/>
      </c>
      <c r="F33" s="11">
        <f>F22</f>
        <v/>
      </c>
      <c r="G33" s="11">
        <f>G22</f>
        <v/>
      </c>
      <c r="H33" s="11">
        <f>H22</f>
        <v/>
      </c>
      <c r="I33" s="11">
        <f>I22</f>
        <v/>
      </c>
      <c r="J33" s="11">
        <f>J22</f>
        <v/>
      </c>
      <c r="K33" s="11">
        <f>K22</f>
        <v/>
      </c>
      <c r="L33" s="11">
        <f>L22</f>
        <v/>
      </c>
      <c r="M33" s="11">
        <f>M22</f>
        <v/>
      </c>
      <c r="N33" s="11">
        <f>SUM(B33:M33)</f>
        <v/>
      </c>
    </row>
    <row r="34">
      <c r="A34" s="9" t="inlineStr">
        <is>
          <t>i360 Services Revenue</t>
        </is>
      </c>
      <c r="B34" s="11">
        <f>B31</f>
        <v/>
      </c>
      <c r="C34" s="11">
        <f>C31</f>
        <v/>
      </c>
      <c r="D34" s="11">
        <f>D31</f>
        <v/>
      </c>
      <c r="E34" s="11">
        <f>E31</f>
        <v/>
      </c>
      <c r="F34" s="11">
        <f>F31</f>
        <v/>
      </c>
      <c r="G34" s="11">
        <f>G31</f>
        <v/>
      </c>
      <c r="H34" s="11">
        <f>H31</f>
        <v/>
      </c>
      <c r="I34" s="11">
        <f>I31</f>
        <v/>
      </c>
      <c r="J34" s="11">
        <f>J31</f>
        <v/>
      </c>
      <c r="K34" s="11">
        <f>K31</f>
        <v/>
      </c>
      <c r="L34" s="11">
        <f>L31</f>
        <v/>
      </c>
      <c r="M34" s="11">
        <f>M31</f>
        <v/>
      </c>
      <c r="N34" s="11">
        <f>SUM(B34:M34)</f>
        <v/>
      </c>
    </row>
    <row r="35">
      <c r="A35" s="9" t="inlineStr">
        <is>
          <t>i360 Total Monthly Revenue</t>
        </is>
      </c>
      <c r="B35" s="12">
        <f>B33+B34</f>
        <v/>
      </c>
      <c r="C35" s="12">
        <f>C33+C34</f>
        <v/>
      </c>
      <c r="D35" s="12">
        <f>D33+D34</f>
        <v/>
      </c>
      <c r="E35" s="12">
        <f>E33+E34</f>
        <v/>
      </c>
      <c r="F35" s="12">
        <f>F33+F34</f>
        <v/>
      </c>
      <c r="G35" s="12">
        <f>G33+G34</f>
        <v/>
      </c>
      <c r="H35" s="12">
        <f>H33+H34</f>
        <v/>
      </c>
      <c r="I35" s="12">
        <f>I33+I34</f>
        <v/>
      </c>
      <c r="J35" s="12">
        <f>J33+J34</f>
        <v/>
      </c>
      <c r="K35" s="12">
        <f>K33+K34</f>
        <v/>
      </c>
      <c r="L35" s="12">
        <f>L33+L34</f>
        <v/>
      </c>
      <c r="M35" s="12">
        <f>M33+M34</f>
        <v/>
      </c>
      <c r="N35" s="12">
        <f>SUM(B35:M35)</f>
        <v/>
      </c>
    </row>
    <row r="36">
      <c r="A36" s="9" t="inlineStr">
        <is>
          <t>i360 Cumulative Revenue</t>
        </is>
      </c>
      <c r="B36" s="12">
        <f>B35</f>
        <v/>
      </c>
      <c r="C36" s="12">
        <f>B36+C35</f>
        <v/>
      </c>
      <c r="D36" s="12">
        <f>C36+D35</f>
        <v/>
      </c>
      <c r="E36" s="12">
        <f>D36+E35</f>
        <v/>
      </c>
      <c r="F36" s="12">
        <f>E36+F35</f>
        <v/>
      </c>
      <c r="G36" s="12">
        <f>F36+G35</f>
        <v/>
      </c>
      <c r="H36" s="12">
        <f>G36+H35</f>
        <v/>
      </c>
      <c r="I36" s="12">
        <f>H36+I35</f>
        <v/>
      </c>
      <c r="J36" s="12">
        <f>I36+J35</f>
        <v/>
      </c>
      <c r="K36" s="12">
        <f>J36+K35</f>
        <v/>
      </c>
      <c r="L36" s="12">
        <f>K36+L35</f>
        <v/>
      </c>
      <c r="M36" s="12">
        <f>L36+M35</f>
        <v/>
      </c>
      <c r="N36" s="12">
        <f>M36</f>
        <v/>
      </c>
    </row>
  </sheetData>
  <mergeCells count="1"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D47A1"/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MOTION B: CONTENT-LED GROWTH MODEL</t>
        </is>
      </c>
    </row>
    <row r="2">
      <c r="A2" s="2" t="inlineStr">
        <is>
          <t>Self-Serve Starter + Business Tier Acquisition (Year 1)</t>
        </is>
      </c>
    </row>
    <row r="4">
      <c r="A4" s="3" t="inlineStr">
        <is>
          <t>ASSUMPTIONS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15" t="inlineStr">
        <is>
          <t>Starter monthly price</t>
        </is>
      </c>
      <c r="B5" s="6" t="n">
        <v>299</v>
      </c>
    </row>
    <row r="6">
      <c r="A6" s="15" t="inlineStr">
        <is>
          <t>Business monthly price</t>
        </is>
      </c>
      <c r="B6" s="6" t="n">
        <v>999</v>
      </c>
    </row>
    <row r="7">
      <c r="A7" s="15" t="inlineStr">
        <is>
          <t>Monthly website visitors (starting)</t>
        </is>
      </c>
      <c r="B7" s="6" t="n">
        <v>2000</v>
      </c>
    </row>
    <row r="8">
      <c r="A8" s="15" t="inlineStr">
        <is>
          <t>Visitor growth rate (monthly)</t>
        </is>
      </c>
      <c r="B8" s="7" t="n">
        <v>0.15</v>
      </c>
    </row>
    <row r="9">
      <c r="A9" s="15" t="inlineStr">
        <is>
          <t>Trial conversion rate (visitor→trial)</t>
        </is>
      </c>
      <c r="B9" s="7" t="n">
        <v>0.04</v>
      </c>
    </row>
    <row r="10">
      <c r="A10" s="15" t="inlineStr">
        <is>
          <t>Trial→Starter conversion</t>
        </is>
      </c>
      <c r="B10" s="7" t="n">
        <v>0.25</v>
      </c>
    </row>
    <row r="11">
      <c r="A11" s="15" t="inlineStr">
        <is>
          <t>Starter→Business upgrade rate (monthly)</t>
        </is>
      </c>
      <c r="B11" s="7" t="n">
        <v>0.08</v>
      </c>
    </row>
    <row r="12">
      <c r="A12" s="15" t="inlineStr">
        <is>
          <t>Starter churn (monthly)</t>
        </is>
      </c>
      <c r="B12" s="7" t="n">
        <v>0.05</v>
      </c>
    </row>
    <row r="13">
      <c r="A13" s="15" t="inlineStr">
        <is>
          <t>Business churn (monthly)</t>
        </is>
      </c>
      <c r="B13" s="7" t="n">
        <v>0.03</v>
      </c>
    </row>
    <row r="14">
      <c r="A14" s="15" t="inlineStr">
        <is>
          <t>Content marketing spend (monthly)</t>
        </is>
      </c>
      <c r="B14" s="6" t="n">
        <v>5000</v>
      </c>
    </row>
    <row r="15">
      <c r="A15" s="15" t="inlineStr">
        <is>
          <t>Paid acquisition spend (monthly, from M3)</t>
        </is>
      </c>
      <c r="B15" s="6" t="n">
        <v>3000</v>
      </c>
    </row>
    <row r="17">
      <c r="A17" s="3" t="inlineStr">
        <is>
          <t>MONTHLY PROJECTIONS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8" t="inlineStr">
        <is>
          <t>Metric</t>
        </is>
      </c>
      <c r="B18" s="8" t="inlineStr">
        <is>
          <t>Month 1</t>
        </is>
      </c>
      <c r="C18" s="8" t="inlineStr">
        <is>
          <t>Month 2</t>
        </is>
      </c>
      <c r="D18" s="8" t="inlineStr">
        <is>
          <t>Month 3</t>
        </is>
      </c>
      <c r="E18" s="8" t="inlineStr">
        <is>
          <t>Month 4</t>
        </is>
      </c>
      <c r="F18" s="8" t="inlineStr">
        <is>
          <t>Month 5</t>
        </is>
      </c>
      <c r="G18" s="8" t="inlineStr">
        <is>
          <t>Month 6</t>
        </is>
      </c>
      <c r="H18" s="8" t="inlineStr">
        <is>
          <t>Month 7</t>
        </is>
      </c>
      <c r="I18" s="8" t="inlineStr">
        <is>
          <t>Month 8</t>
        </is>
      </c>
      <c r="J18" s="8" t="inlineStr">
        <is>
          <t>Month 9</t>
        </is>
      </c>
      <c r="K18" s="8" t="inlineStr">
        <is>
          <t>Month 10</t>
        </is>
      </c>
      <c r="L18" s="8" t="inlineStr">
        <is>
          <t>Month 11</t>
        </is>
      </c>
      <c r="M18" s="8" t="inlineStr">
        <is>
          <t>Month 12</t>
        </is>
      </c>
      <c r="N18" s="8" t="inlineStr">
        <is>
          <t>TOTAL Y1</t>
        </is>
      </c>
    </row>
    <row r="19">
      <c r="A19" s="9" t="inlineStr">
        <is>
          <t>Website Visitors</t>
        </is>
      </c>
      <c r="B19" s="11">
        <f>$B$7</f>
        <v/>
      </c>
      <c r="C19" s="11">
        <f>ROUND(B19*(1+$B$8),0)</f>
        <v/>
      </c>
      <c r="D19" s="11">
        <f>ROUND(C19*(1+$B$8),0)</f>
        <v/>
      </c>
      <c r="E19" s="11">
        <f>ROUND(D19*(1+$B$8),0)</f>
        <v/>
      </c>
      <c r="F19" s="11">
        <f>ROUND(E19*(1+$B$8),0)</f>
        <v/>
      </c>
      <c r="G19" s="11">
        <f>ROUND(F19*(1+$B$8),0)</f>
        <v/>
      </c>
      <c r="H19" s="11">
        <f>ROUND(G19*(1+$B$8),0)</f>
        <v/>
      </c>
      <c r="I19" s="11">
        <f>ROUND(H19*(1+$B$8),0)</f>
        <v/>
      </c>
      <c r="J19" s="11">
        <f>ROUND(I19*(1+$B$8),0)</f>
        <v/>
      </c>
      <c r="K19" s="11">
        <f>ROUND(J19*(1+$B$8),0)</f>
        <v/>
      </c>
      <c r="L19" s="11">
        <f>ROUND(K19*(1+$B$8),0)</f>
        <v/>
      </c>
      <c r="M19" s="11">
        <f>ROUND(L19*(1+$B$8),0)</f>
        <v/>
      </c>
      <c r="N19" s="11">
        <f>SUM(B19:M19)</f>
        <v/>
      </c>
    </row>
    <row r="20">
      <c r="A20" s="9" t="inlineStr">
        <is>
          <t>New Trials</t>
        </is>
      </c>
      <c r="B20" s="11">
        <f>ROUND(B19*$B$9,0)</f>
        <v/>
      </c>
      <c r="C20" s="11">
        <f>ROUND(C19*$B$9,0)</f>
        <v/>
      </c>
      <c r="D20" s="11">
        <f>ROUND(D19*$B$9,0)</f>
        <v/>
      </c>
      <c r="E20" s="11">
        <f>ROUND(E19*$B$9,0)</f>
        <v/>
      </c>
      <c r="F20" s="11">
        <f>ROUND(F19*$B$9,0)</f>
        <v/>
      </c>
      <c r="G20" s="11">
        <f>ROUND(G19*$B$9,0)</f>
        <v/>
      </c>
      <c r="H20" s="11">
        <f>ROUND(H19*$B$9,0)</f>
        <v/>
      </c>
      <c r="I20" s="11">
        <f>ROUND(I19*$B$9,0)</f>
        <v/>
      </c>
      <c r="J20" s="11">
        <f>ROUND(J19*$B$9,0)</f>
        <v/>
      </c>
      <c r="K20" s="11">
        <f>ROUND(K19*$B$9,0)</f>
        <v/>
      </c>
      <c r="L20" s="11">
        <f>ROUND(L19*$B$9,0)</f>
        <v/>
      </c>
      <c r="M20" s="11">
        <f>ROUND(M19*$B$9,0)</f>
        <v/>
      </c>
      <c r="N20" s="11">
        <f>SUM(B20:M20)</f>
        <v/>
      </c>
    </row>
    <row r="21">
      <c r="A21" s="9" t="inlineStr">
        <is>
          <t>New Starter Customers</t>
        </is>
      </c>
      <c r="B21" s="11">
        <f>ROUND(B20*$B$10,0)</f>
        <v/>
      </c>
      <c r="C21" s="11">
        <f>ROUND(C20*$B$10,0)</f>
        <v/>
      </c>
      <c r="D21" s="11">
        <f>ROUND(D20*$B$10,0)</f>
        <v/>
      </c>
      <c r="E21" s="11">
        <f>ROUND(E20*$B$10,0)</f>
        <v/>
      </c>
      <c r="F21" s="11">
        <f>ROUND(F20*$B$10,0)</f>
        <v/>
      </c>
      <c r="G21" s="11">
        <f>ROUND(G20*$B$10,0)</f>
        <v/>
      </c>
      <c r="H21" s="11">
        <f>ROUND(H20*$B$10,0)</f>
        <v/>
      </c>
      <c r="I21" s="11">
        <f>ROUND(I20*$B$10,0)</f>
        <v/>
      </c>
      <c r="J21" s="11">
        <f>ROUND(J20*$B$10,0)</f>
        <v/>
      </c>
      <c r="K21" s="11">
        <f>ROUND(K20*$B$10,0)</f>
        <v/>
      </c>
      <c r="L21" s="11">
        <f>ROUND(L20*$B$10,0)</f>
        <v/>
      </c>
      <c r="M21" s="11">
        <f>ROUND(M20*$B$10,0)</f>
        <v/>
      </c>
      <c r="N21" s="11">
        <f>SUM(B21:M21)</f>
        <v/>
      </c>
    </row>
    <row r="22">
      <c r="A22" s="9" t="inlineStr">
        <is>
          <t>Starter→Business Upgrades</t>
        </is>
      </c>
      <c r="B22" s="11" t="n">
        <v>0</v>
      </c>
      <c r="C22" s="11">
        <f>ROUND(B24*$B$11,0)</f>
        <v/>
      </c>
      <c r="D22" s="11">
        <f>ROUND(C24*$B$11,0)</f>
        <v/>
      </c>
      <c r="E22" s="11">
        <f>ROUND(D24*$B$11,0)</f>
        <v/>
      </c>
      <c r="F22" s="11">
        <f>ROUND(E24*$B$11,0)</f>
        <v/>
      </c>
      <c r="G22" s="11">
        <f>ROUND(F24*$B$11,0)</f>
        <v/>
      </c>
      <c r="H22" s="11">
        <f>ROUND(G24*$B$11,0)</f>
        <v/>
      </c>
      <c r="I22" s="11">
        <f>ROUND(H24*$B$11,0)</f>
        <v/>
      </c>
      <c r="J22" s="11">
        <f>ROUND(I24*$B$11,0)</f>
        <v/>
      </c>
      <c r="K22" s="11">
        <f>ROUND(J24*$B$11,0)</f>
        <v/>
      </c>
      <c r="L22" s="11">
        <f>ROUND(K24*$B$11,0)</f>
        <v/>
      </c>
      <c r="M22" s="11">
        <f>ROUND(L24*$B$11,0)</f>
        <v/>
      </c>
      <c r="N22" s="11">
        <f>SUM(B22:M22)</f>
        <v/>
      </c>
    </row>
    <row r="23">
      <c r="A23" s="13" t="inlineStr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</row>
    <row r="24">
      <c r="A24" s="9" t="inlineStr">
        <is>
          <t>Cumulative Starter (net churn &amp; upgrades)</t>
        </is>
      </c>
      <c r="B24" s="11">
        <f>B21</f>
        <v/>
      </c>
      <c r="C24" s="11">
        <f>MAX(ROUND(B24*(1-$B$12)-C22+C21,0),0)</f>
        <v/>
      </c>
      <c r="D24" s="11">
        <f>MAX(ROUND(C24*(1-$B$12)-D22+D21,0),0)</f>
        <v/>
      </c>
      <c r="E24" s="11">
        <f>MAX(ROUND(D24*(1-$B$12)-E22+E21,0),0)</f>
        <v/>
      </c>
      <c r="F24" s="11">
        <f>MAX(ROUND(E24*(1-$B$12)-F22+F21,0),0)</f>
        <v/>
      </c>
      <c r="G24" s="11">
        <f>MAX(ROUND(F24*(1-$B$12)-G22+G21,0),0)</f>
        <v/>
      </c>
      <c r="H24" s="11">
        <f>MAX(ROUND(G24*(1-$B$12)-H22+H21,0),0)</f>
        <v/>
      </c>
      <c r="I24" s="11">
        <f>MAX(ROUND(H24*(1-$B$12)-I22+I21,0),0)</f>
        <v/>
      </c>
      <c r="J24" s="11">
        <f>MAX(ROUND(I24*(1-$B$12)-J22+J21,0),0)</f>
        <v/>
      </c>
      <c r="K24" s="11">
        <f>MAX(ROUND(J24*(1-$B$12)-K22+K21,0),0)</f>
        <v/>
      </c>
      <c r="L24" s="11">
        <f>MAX(ROUND(K24*(1-$B$12)-L22+L21,0),0)</f>
        <v/>
      </c>
      <c r="M24" s="11">
        <f>MAX(ROUND(L24*(1-$B$12)-M22+M21,0),0)</f>
        <v/>
      </c>
      <c r="N24" s="11">
        <f>M24</f>
        <v/>
      </c>
    </row>
    <row r="25">
      <c r="A25" s="9" t="inlineStr">
        <is>
          <t>Cumulative Business (net churn)</t>
        </is>
      </c>
      <c r="B25" s="11">
        <f>B22</f>
        <v/>
      </c>
      <c r="C25" s="11">
        <f>ROUND(B25*(1-$B$13)+C22,0)</f>
        <v/>
      </c>
      <c r="D25" s="11">
        <f>ROUND(C25*(1-$B$13)+D22,0)</f>
        <v/>
      </c>
      <c r="E25" s="11">
        <f>ROUND(D25*(1-$B$13)+E22,0)</f>
        <v/>
      </c>
      <c r="F25" s="11">
        <f>ROUND(E25*(1-$B$13)+F22,0)</f>
        <v/>
      </c>
      <c r="G25" s="11">
        <f>ROUND(F25*(1-$B$13)+G22,0)</f>
        <v/>
      </c>
      <c r="H25" s="11">
        <f>ROUND(G25*(1-$B$13)+H22,0)</f>
        <v/>
      </c>
      <c r="I25" s="11">
        <f>ROUND(H25*(1-$B$13)+I22,0)</f>
        <v/>
      </c>
      <c r="J25" s="11">
        <f>ROUND(I25*(1-$B$13)+J22,0)</f>
        <v/>
      </c>
      <c r="K25" s="11">
        <f>ROUND(J25*(1-$B$13)+K22,0)</f>
        <v/>
      </c>
      <c r="L25" s="11">
        <f>ROUND(K25*(1-$B$13)+L22,0)</f>
        <v/>
      </c>
      <c r="M25" s="11">
        <f>ROUND(L25*(1-$B$13)+M22,0)</f>
        <v/>
      </c>
      <c r="N25" s="11">
        <f>M25</f>
        <v/>
      </c>
    </row>
    <row r="26">
      <c r="A26" s="9" t="inlineStr">
        <is>
          <t>Total Customers</t>
        </is>
      </c>
      <c r="B26" s="12">
        <f>B24+B25</f>
        <v/>
      </c>
      <c r="C26" s="12">
        <f>C24+C25</f>
        <v/>
      </c>
      <c r="D26" s="12">
        <f>D24+D25</f>
        <v/>
      </c>
      <c r="E26" s="12">
        <f>E24+E25</f>
        <v/>
      </c>
      <c r="F26" s="12">
        <f>F24+F25</f>
        <v/>
      </c>
      <c r="G26" s="12">
        <f>G24+G25</f>
        <v/>
      </c>
      <c r="H26" s="12">
        <f>H24+H25</f>
        <v/>
      </c>
      <c r="I26" s="12">
        <f>I24+I25</f>
        <v/>
      </c>
      <c r="J26" s="12">
        <f>J24+J25</f>
        <v/>
      </c>
      <c r="K26" s="12">
        <f>K24+K25</f>
        <v/>
      </c>
      <c r="L26" s="12">
        <f>L24+L25</f>
        <v/>
      </c>
      <c r="M26" s="12">
        <f>M24+M25</f>
        <v/>
      </c>
      <c r="N26" s="12">
        <f>M26</f>
        <v/>
      </c>
    </row>
    <row r="27">
      <c r="A27" s="13" t="inlineStr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</row>
    <row r="28">
      <c r="A28" s="9" t="inlineStr">
        <is>
          <t>Starter MRR</t>
        </is>
      </c>
      <c r="B28" s="11">
        <f>B24*$B$5</f>
        <v/>
      </c>
      <c r="C28" s="11">
        <f>C24*$B$5</f>
        <v/>
      </c>
      <c r="D28" s="11">
        <f>D24*$B$5</f>
        <v/>
      </c>
      <c r="E28" s="11">
        <f>E24*$B$5</f>
        <v/>
      </c>
      <c r="F28" s="11">
        <f>F24*$B$5</f>
        <v/>
      </c>
      <c r="G28" s="11">
        <f>G24*$B$5</f>
        <v/>
      </c>
      <c r="H28" s="11">
        <f>H24*$B$5</f>
        <v/>
      </c>
      <c r="I28" s="11">
        <f>I24*$B$5</f>
        <v/>
      </c>
      <c r="J28" s="11">
        <f>J24*$B$5</f>
        <v/>
      </c>
      <c r="K28" s="11">
        <f>K24*$B$5</f>
        <v/>
      </c>
      <c r="L28" s="11">
        <f>L24*$B$5</f>
        <v/>
      </c>
      <c r="M28" s="11">
        <f>M24*$B$5</f>
        <v/>
      </c>
      <c r="N28" s="11">
        <f>SUM(B28:M28)</f>
        <v/>
      </c>
    </row>
    <row r="29">
      <c r="A29" s="9" t="inlineStr">
        <is>
          <t>Business MRR</t>
        </is>
      </c>
      <c r="B29" s="11">
        <f>B25*$B$6</f>
        <v/>
      </c>
      <c r="C29" s="11">
        <f>C25*$B$6</f>
        <v/>
      </c>
      <c r="D29" s="11">
        <f>D25*$B$6</f>
        <v/>
      </c>
      <c r="E29" s="11">
        <f>E25*$B$6</f>
        <v/>
      </c>
      <c r="F29" s="11">
        <f>F25*$B$6</f>
        <v/>
      </c>
      <c r="G29" s="11">
        <f>G25*$B$6</f>
        <v/>
      </c>
      <c r="H29" s="11">
        <f>H25*$B$6</f>
        <v/>
      </c>
      <c r="I29" s="11">
        <f>I25*$B$6</f>
        <v/>
      </c>
      <c r="J29" s="11">
        <f>J25*$B$6</f>
        <v/>
      </c>
      <c r="K29" s="11">
        <f>K25*$B$6</f>
        <v/>
      </c>
      <c r="L29" s="11">
        <f>L25*$B$6</f>
        <v/>
      </c>
      <c r="M29" s="11">
        <f>M25*$B$6</f>
        <v/>
      </c>
      <c r="N29" s="11">
        <f>SUM(B29:M29)</f>
        <v/>
      </c>
    </row>
    <row r="30">
      <c r="A30" s="9" t="inlineStr">
        <is>
          <t>Total MRR</t>
        </is>
      </c>
      <c r="B30" s="12">
        <f>B28+B29</f>
        <v/>
      </c>
      <c r="C30" s="12">
        <f>C28+C29</f>
        <v/>
      </c>
      <c r="D30" s="12">
        <f>D28+D29</f>
        <v/>
      </c>
      <c r="E30" s="12">
        <f>E28+E29</f>
        <v/>
      </c>
      <c r="F30" s="12">
        <f>F28+F29</f>
        <v/>
      </c>
      <c r="G30" s="12">
        <f>G28+G29</f>
        <v/>
      </c>
      <c r="H30" s="12">
        <f>H28+H29</f>
        <v/>
      </c>
      <c r="I30" s="12">
        <f>I28+I29</f>
        <v/>
      </c>
      <c r="J30" s="12">
        <f>J28+J29</f>
        <v/>
      </c>
      <c r="K30" s="12">
        <f>K28+K29</f>
        <v/>
      </c>
      <c r="L30" s="12">
        <f>L28+L29</f>
        <v/>
      </c>
      <c r="M30" s="12">
        <f>M28+M29</f>
        <v/>
      </c>
      <c r="N30" s="12">
        <f>SUM(B30:M30)</f>
        <v/>
      </c>
    </row>
    <row r="31">
      <c r="A31" s="13" t="inlineStr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</row>
    <row r="32">
      <c r="A32" s="9" t="inlineStr">
        <is>
          <t>Marketing Spend</t>
        </is>
      </c>
      <c r="B32" s="11">
        <f>$B$14</f>
        <v/>
      </c>
      <c r="C32" s="11">
        <f>$B$14</f>
        <v/>
      </c>
      <c r="D32" s="11">
        <f>$B$14+$B$15</f>
        <v/>
      </c>
      <c r="E32" s="11">
        <f>$B$14+$B$15</f>
        <v/>
      </c>
      <c r="F32" s="11">
        <f>$B$14+$B$15</f>
        <v/>
      </c>
      <c r="G32" s="11">
        <f>$B$14+$B$15</f>
        <v/>
      </c>
      <c r="H32" s="11">
        <f>$B$14+$B$15</f>
        <v/>
      </c>
      <c r="I32" s="11">
        <f>$B$14+$B$15</f>
        <v/>
      </c>
      <c r="J32" s="11">
        <f>$B$14+$B$15</f>
        <v/>
      </c>
      <c r="K32" s="11">
        <f>$B$14+$B$15</f>
        <v/>
      </c>
      <c r="L32" s="11">
        <f>$B$14+$B$15</f>
        <v/>
      </c>
      <c r="M32" s="11">
        <f>$B$14+$B$15</f>
        <v/>
      </c>
      <c r="N32" s="11">
        <f>SUM(B32:M32)</f>
        <v/>
      </c>
    </row>
    <row r="33">
      <c r="A33" s="9" t="inlineStr">
        <is>
          <t>CAC (per new customer)</t>
        </is>
      </c>
      <c r="B33" s="11">
        <f>IF(B21+B22&gt;0,B32/(B21+B22),0)</f>
        <v/>
      </c>
      <c r="C33" s="11">
        <f>IF(C21+C22&gt;0,C32/(C21+C22),0)</f>
        <v/>
      </c>
      <c r="D33" s="11">
        <f>IF(D21+D22&gt;0,D32/(D21+D22),0)</f>
        <v/>
      </c>
      <c r="E33" s="11">
        <f>IF(E21+E22&gt;0,E32/(E21+E22),0)</f>
        <v/>
      </c>
      <c r="F33" s="11">
        <f>IF(F21+F22&gt;0,F32/(F21+F22),0)</f>
        <v/>
      </c>
      <c r="G33" s="11">
        <f>IF(G21+G22&gt;0,G32/(G21+G22),0)</f>
        <v/>
      </c>
      <c r="H33" s="11">
        <f>IF(H21+H22&gt;0,H32/(H21+H22),0)</f>
        <v/>
      </c>
      <c r="I33" s="11">
        <f>IF(I21+I22&gt;0,I32/(I21+I22),0)</f>
        <v/>
      </c>
      <c r="J33" s="11">
        <f>IF(J21+J22&gt;0,J32/(J21+J22),0)</f>
        <v/>
      </c>
      <c r="K33" s="11">
        <f>IF(K21+K22&gt;0,K32/(K21+K22),0)</f>
        <v/>
      </c>
      <c r="L33" s="11">
        <f>IF(L21+L22&gt;0,L32/(L21+L22),0)</f>
        <v/>
      </c>
      <c r="M33" s="11">
        <f>IF(M21+M22&gt;0,M32/(M21+M22),0)</f>
        <v/>
      </c>
      <c r="N33" s="11">
        <f>IF(N21+N22&gt;0,N32/(N21+N22),0)</f>
        <v/>
      </c>
    </row>
    <row r="34">
      <c r="A34" s="9" t="inlineStr">
        <is>
          <t>MRR - Marketing Spend</t>
        </is>
      </c>
      <c r="B34" s="11">
        <f>B30-B32</f>
        <v/>
      </c>
      <c r="C34" s="11">
        <f>C30-C32</f>
        <v/>
      </c>
      <c r="D34" s="11">
        <f>D30-D32</f>
        <v/>
      </c>
      <c r="E34" s="11">
        <f>E30-E32</f>
        <v/>
      </c>
      <c r="F34" s="11">
        <f>F30-F32</f>
        <v/>
      </c>
      <c r="G34" s="11">
        <f>G30-G32</f>
        <v/>
      </c>
      <c r="H34" s="11">
        <f>H30-H32</f>
        <v/>
      </c>
      <c r="I34" s="11">
        <f>I30-I32</f>
        <v/>
      </c>
      <c r="J34" s="11">
        <f>J30-J32</f>
        <v/>
      </c>
      <c r="K34" s="11">
        <f>K30-K32</f>
        <v/>
      </c>
      <c r="L34" s="11">
        <f>L30-L32</f>
        <v/>
      </c>
      <c r="M34" s="11">
        <f>M30-M32</f>
        <v/>
      </c>
      <c r="N34" s="11">
        <f>SUM(B34:M34)</f>
        <v/>
      </c>
    </row>
    <row r="35">
      <c r="A35" s="9" t="inlineStr">
        <is>
          <t>Cumulative Revenue</t>
        </is>
      </c>
      <c r="B35" s="12">
        <f>B30</f>
        <v/>
      </c>
      <c r="C35" s="12">
        <f>B35+C30</f>
        <v/>
      </c>
      <c r="D35" s="12">
        <f>C35+D30</f>
        <v/>
      </c>
      <c r="E35" s="12">
        <f>D35+E30</f>
        <v/>
      </c>
      <c r="F35" s="12">
        <f>E35+F30</f>
        <v/>
      </c>
      <c r="G35" s="12">
        <f>F35+G30</f>
        <v/>
      </c>
      <c r="H35" s="12">
        <f>G35+H30</f>
        <v/>
      </c>
      <c r="I35" s="12">
        <f>H35+I30</f>
        <v/>
      </c>
      <c r="J35" s="12">
        <f>I35+J30</f>
        <v/>
      </c>
      <c r="K35" s="12">
        <f>J35+K30</f>
        <v/>
      </c>
      <c r="L35" s="12">
        <f>K35+L30</f>
        <v/>
      </c>
      <c r="M35" s="12">
        <f>L35+M30</f>
        <v/>
      </c>
      <c r="N35" s="12">
        <f>M35</f>
        <v/>
      </c>
    </row>
    <row r="36">
      <c r="A36" s="9" t="inlineStr">
        <is>
          <t>Cumulative Marketing Spend</t>
        </is>
      </c>
      <c r="B36" s="11">
        <f>B32</f>
        <v/>
      </c>
      <c r="C36" s="11">
        <f>B36+C32</f>
        <v/>
      </c>
      <c r="D36" s="11">
        <f>C36+D32</f>
        <v/>
      </c>
      <c r="E36" s="11">
        <f>D36+E32</f>
        <v/>
      </c>
      <c r="F36" s="11">
        <f>E36+F32</f>
        <v/>
      </c>
      <c r="G36" s="11">
        <f>F36+G32</f>
        <v/>
      </c>
      <c r="H36" s="11">
        <f>G36+H32</f>
        <v/>
      </c>
      <c r="I36" s="11">
        <f>H36+I32</f>
        <v/>
      </c>
      <c r="J36" s="11">
        <f>I36+J32</f>
        <v/>
      </c>
      <c r="K36" s="11">
        <f>J36+K32</f>
        <v/>
      </c>
      <c r="L36" s="11">
        <f>K36+L32</f>
        <v/>
      </c>
      <c r="M36" s="11">
        <f>L36+M32</f>
        <v/>
      </c>
      <c r="N36" s="11">
        <f>M36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5E20"/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MOTION C: PARTNER-ENABLED ENTERPRISE GROWTH MODEL</t>
        </is>
      </c>
    </row>
    <row r="2">
      <c r="A2" s="2" t="inlineStr">
        <is>
          <t>Partner Channel + Enterprise Direct (Year 1)</t>
        </is>
      </c>
    </row>
    <row r="4">
      <c r="A4" s="3" t="inlineStr">
        <is>
          <t>ASSUMPTIONS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15" t="inlineStr">
        <is>
          <t>Enterprise avg monthly deal value</t>
        </is>
      </c>
      <c r="B5" s="6" t="n">
        <v>3500</v>
      </c>
    </row>
    <row r="6">
      <c r="A6" s="15" t="inlineStr">
        <is>
          <t>Partner-sourced avg monthly deal value</t>
        </is>
      </c>
      <c r="B6" s="6" t="n">
        <v>1667</v>
      </c>
    </row>
    <row r="7">
      <c r="A7" s="15" t="inlineStr">
        <is>
          <t>New partners signed per month (M1-3)</t>
        </is>
      </c>
      <c r="B7" s="6" t="n">
        <v>3</v>
      </c>
    </row>
    <row r="8">
      <c r="A8" s="15" t="inlineStr">
        <is>
          <t>New partners signed per month (M4-12)</t>
        </is>
      </c>
      <c r="B8" s="6" t="n">
        <v>5</v>
      </c>
    </row>
    <row r="9">
      <c r="A9" s="15" t="inlineStr">
        <is>
          <t>Deals per active partner per quarter</t>
        </is>
      </c>
      <c r="B9" s="16" t="n">
        <v>1</v>
      </c>
    </row>
    <row r="10">
      <c r="A10" s="15" t="inlineStr">
        <is>
          <t>Enterprise direct deals per month (M4+)</t>
        </is>
      </c>
      <c r="B10" s="6" t="n">
        <v>1</v>
      </c>
    </row>
    <row r="11">
      <c r="A11" s="15" t="inlineStr">
        <is>
          <t>Partner margin (% of deal)</t>
        </is>
      </c>
      <c r="B11" s="7" t="n">
        <v>0.28</v>
      </c>
    </row>
    <row r="12">
      <c r="A12" s="15" t="inlineStr">
        <is>
          <t>i360 net revenue (% of partner deal)</t>
        </is>
      </c>
      <c r="B12" s="7" t="n">
        <v>0.72</v>
      </c>
    </row>
    <row r="13">
      <c r="A13" s="15" t="inlineStr">
        <is>
          <t>Enterprise churn (monthly)</t>
        </is>
      </c>
      <c r="B13" s="7" t="n">
        <v>0.015</v>
      </c>
    </row>
    <row r="14">
      <c r="A14" s="15" t="inlineStr">
        <is>
          <t>Partner churn (monthly)</t>
        </is>
      </c>
      <c r="B14" s="7" t="n">
        <v>0.04</v>
      </c>
    </row>
    <row r="15">
      <c r="A15" s="15" t="inlineStr">
        <is>
          <t>Partner enablement cost per partner</t>
        </is>
      </c>
      <c r="B15" s="6" t="n">
        <v>2000</v>
      </c>
    </row>
    <row r="16">
      <c r="A16" s="15" t="inlineStr">
        <is>
          <t>Enterprise sales cost per deal</t>
        </is>
      </c>
      <c r="B16" s="6" t="n">
        <v>5000</v>
      </c>
    </row>
    <row r="18">
      <c r="A18" s="3" t="inlineStr">
        <is>
          <t>MONTHLY PROJECTIONS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8" t="inlineStr">
        <is>
          <t>Metric</t>
        </is>
      </c>
      <c r="B19" s="8" t="inlineStr">
        <is>
          <t>Month 1</t>
        </is>
      </c>
      <c r="C19" s="8" t="inlineStr">
        <is>
          <t>Month 2</t>
        </is>
      </c>
      <c r="D19" s="8" t="inlineStr">
        <is>
          <t>Month 3</t>
        </is>
      </c>
      <c r="E19" s="8" t="inlineStr">
        <is>
          <t>Month 4</t>
        </is>
      </c>
      <c r="F19" s="8" t="inlineStr">
        <is>
          <t>Month 5</t>
        </is>
      </c>
      <c r="G19" s="8" t="inlineStr">
        <is>
          <t>Month 6</t>
        </is>
      </c>
      <c r="H19" s="8" t="inlineStr">
        <is>
          <t>Month 7</t>
        </is>
      </c>
      <c r="I19" s="8" t="inlineStr">
        <is>
          <t>Month 8</t>
        </is>
      </c>
      <c r="J19" s="8" t="inlineStr">
        <is>
          <t>Month 9</t>
        </is>
      </c>
      <c r="K19" s="8" t="inlineStr">
        <is>
          <t>Month 10</t>
        </is>
      </c>
      <c r="L19" s="8" t="inlineStr">
        <is>
          <t>Month 11</t>
        </is>
      </c>
      <c r="M19" s="8" t="inlineStr">
        <is>
          <t>Month 12</t>
        </is>
      </c>
      <c r="N19" s="8" t="inlineStr">
        <is>
          <t>TOTAL Y1</t>
        </is>
      </c>
    </row>
    <row r="20">
      <c r="A20" s="9" t="inlineStr">
        <is>
          <t>New Partners Signed</t>
        </is>
      </c>
      <c r="B20" s="10" t="n">
        <v>3</v>
      </c>
      <c r="C20" s="10" t="n">
        <v>3</v>
      </c>
      <c r="D20" s="10" t="n">
        <v>3</v>
      </c>
      <c r="E20" s="10" t="n">
        <v>5</v>
      </c>
      <c r="F20" s="10" t="n">
        <v>5</v>
      </c>
      <c r="G20" s="10" t="n">
        <v>5</v>
      </c>
      <c r="H20" s="10" t="n">
        <v>5</v>
      </c>
      <c r="I20" s="10" t="n">
        <v>5</v>
      </c>
      <c r="J20" s="10" t="n">
        <v>5</v>
      </c>
      <c r="K20" s="10" t="n">
        <v>5</v>
      </c>
      <c r="L20" s="10" t="n">
        <v>5</v>
      </c>
      <c r="M20" s="10" t="n">
        <v>5</v>
      </c>
      <c r="N20" s="11">
        <f>SUM(B20:M20)</f>
        <v/>
      </c>
    </row>
    <row r="21">
      <c r="A21" s="9" t="inlineStr">
        <is>
          <t>Cumulative Active Partners</t>
        </is>
      </c>
      <c r="B21" s="11">
        <f>B20</f>
        <v/>
      </c>
      <c r="C21" s="11">
        <f>ROUND(B21*(1-$B$14)+C20,0)</f>
        <v/>
      </c>
      <c r="D21" s="11">
        <f>ROUND(C21*(1-$B$14)+D20,0)</f>
        <v/>
      </c>
      <c r="E21" s="11">
        <f>ROUND(D21*(1-$B$14)+E20,0)</f>
        <v/>
      </c>
      <c r="F21" s="11">
        <f>ROUND(E21*(1-$B$14)+F20,0)</f>
        <v/>
      </c>
      <c r="G21" s="11">
        <f>ROUND(F21*(1-$B$14)+G20,0)</f>
        <v/>
      </c>
      <c r="H21" s="11">
        <f>ROUND(G21*(1-$B$14)+H20,0)</f>
        <v/>
      </c>
      <c r="I21" s="11">
        <f>ROUND(H21*(1-$B$14)+I20,0)</f>
        <v/>
      </c>
      <c r="J21" s="11">
        <f>ROUND(I21*(1-$B$14)+J20,0)</f>
        <v/>
      </c>
      <c r="K21" s="11">
        <f>ROUND(J21*(1-$B$14)+K20,0)</f>
        <v/>
      </c>
      <c r="L21" s="11">
        <f>ROUND(K21*(1-$B$14)+L20,0)</f>
        <v/>
      </c>
      <c r="M21" s="11">
        <f>ROUND(L21*(1-$B$14)+M20,0)</f>
        <v/>
      </c>
      <c r="N21" s="11">
        <f>M21</f>
        <v/>
      </c>
    </row>
    <row r="22">
      <c r="A22" s="9" t="inlineStr">
        <is>
          <t>New Partner-Sourced Deals</t>
        </is>
      </c>
      <c r="B22" s="11">
        <f>ROUND(B21*$B$9/3,0)</f>
        <v/>
      </c>
      <c r="C22" s="11">
        <f>ROUND(C21*$B$9/3,0)</f>
        <v/>
      </c>
      <c r="D22" s="11">
        <f>ROUND(D21*$B$9/3,0)</f>
        <v/>
      </c>
      <c r="E22" s="11">
        <f>ROUND(E21*$B$9/3,0)</f>
        <v/>
      </c>
      <c r="F22" s="11">
        <f>ROUND(F21*$B$9/3,0)</f>
        <v/>
      </c>
      <c r="G22" s="11">
        <f>ROUND(G21*$B$9/3,0)</f>
        <v/>
      </c>
      <c r="H22" s="11">
        <f>ROUND(H21*$B$9/3,0)</f>
        <v/>
      </c>
      <c r="I22" s="11">
        <f>ROUND(I21*$B$9/3,0)</f>
        <v/>
      </c>
      <c r="J22" s="11">
        <f>ROUND(J21*$B$9/3,0)</f>
        <v/>
      </c>
      <c r="K22" s="11">
        <f>ROUND(K21*$B$9/3,0)</f>
        <v/>
      </c>
      <c r="L22" s="11">
        <f>ROUND(L21*$B$9/3,0)</f>
        <v/>
      </c>
      <c r="M22" s="11">
        <f>ROUND(M21*$B$9/3,0)</f>
        <v/>
      </c>
      <c r="N22" s="11">
        <f>SUM(B22:M22)</f>
        <v/>
      </c>
    </row>
    <row r="23">
      <c r="A23" s="9" t="inlineStr">
        <is>
          <t>New Enterprise Direct Deals</t>
        </is>
      </c>
      <c r="B23" s="10" t="n">
        <v>0</v>
      </c>
      <c r="C23" s="10" t="n">
        <v>0</v>
      </c>
      <c r="D23" s="10" t="n">
        <v>0</v>
      </c>
      <c r="E23" s="10" t="n">
        <v>1</v>
      </c>
      <c r="F23" s="10" t="n">
        <v>1</v>
      </c>
      <c r="G23" s="10" t="n">
        <v>1</v>
      </c>
      <c r="H23" s="10" t="n">
        <v>1</v>
      </c>
      <c r="I23" s="10" t="n">
        <v>2</v>
      </c>
      <c r="J23" s="10" t="n">
        <v>2</v>
      </c>
      <c r="K23" s="10" t="n">
        <v>2</v>
      </c>
      <c r="L23" s="10" t="n">
        <v>2</v>
      </c>
      <c r="M23" s="10" t="n">
        <v>2</v>
      </c>
      <c r="N23" s="11">
        <f>SUM(B23:M23)</f>
        <v/>
      </c>
    </row>
    <row r="24">
      <c r="A24" s="9" t="inlineStr">
        <is>
          <t>Total New Deals</t>
        </is>
      </c>
      <c r="B24" s="12">
        <f>B22+B23</f>
        <v/>
      </c>
      <c r="C24" s="12">
        <f>C22+C23</f>
        <v/>
      </c>
      <c r="D24" s="12">
        <f>D22+D23</f>
        <v/>
      </c>
      <c r="E24" s="12">
        <f>E22+E23</f>
        <v/>
      </c>
      <c r="F24" s="12">
        <f>F22+F23</f>
        <v/>
      </c>
      <c r="G24" s="12">
        <f>G22+G23</f>
        <v/>
      </c>
      <c r="H24" s="12">
        <f>H22+H23</f>
        <v/>
      </c>
      <c r="I24" s="12">
        <f>I22+I23</f>
        <v/>
      </c>
      <c r="J24" s="12">
        <f>J22+J23</f>
        <v/>
      </c>
      <c r="K24" s="12">
        <f>K22+K23</f>
        <v/>
      </c>
      <c r="L24" s="12">
        <f>L22+L23</f>
        <v/>
      </c>
      <c r="M24" s="12">
        <f>M22+M23</f>
        <v/>
      </c>
      <c r="N24" s="12">
        <f>SUM(B24:M24)</f>
        <v/>
      </c>
    </row>
    <row r="25">
      <c r="A25" s="13" t="inlineStr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</row>
    <row r="26">
      <c r="A26" s="9" t="inlineStr">
        <is>
          <t>Cumulative Partner Customers (net churn)</t>
        </is>
      </c>
      <c r="B26" s="11">
        <f>B22</f>
        <v/>
      </c>
      <c r="C26" s="11">
        <f>ROUND(B26*(1-$B$13)+C22,0)</f>
        <v/>
      </c>
      <c r="D26" s="11">
        <f>ROUND(C26*(1-$B$13)+D22,0)</f>
        <v/>
      </c>
      <c r="E26" s="11">
        <f>ROUND(D26*(1-$B$13)+E22,0)</f>
        <v/>
      </c>
      <c r="F26" s="11">
        <f>ROUND(E26*(1-$B$13)+F22,0)</f>
        <v/>
      </c>
      <c r="G26" s="11">
        <f>ROUND(F26*(1-$B$13)+G22,0)</f>
        <v/>
      </c>
      <c r="H26" s="11">
        <f>ROUND(G26*(1-$B$13)+H22,0)</f>
        <v/>
      </c>
      <c r="I26" s="11">
        <f>ROUND(H26*(1-$B$13)+I22,0)</f>
        <v/>
      </c>
      <c r="J26" s="11">
        <f>ROUND(I26*(1-$B$13)+J22,0)</f>
        <v/>
      </c>
      <c r="K26" s="11">
        <f>ROUND(J26*(1-$B$13)+K22,0)</f>
        <v/>
      </c>
      <c r="L26" s="11">
        <f>ROUND(K26*(1-$B$13)+L22,0)</f>
        <v/>
      </c>
      <c r="M26" s="11">
        <f>ROUND(L26*(1-$B$13)+M22,0)</f>
        <v/>
      </c>
      <c r="N26" s="11">
        <f>M26</f>
        <v/>
      </c>
    </row>
    <row r="27">
      <c r="A27" s="9" t="inlineStr">
        <is>
          <t>Cumulative Enterprise Customers (net churn)</t>
        </is>
      </c>
      <c r="B27" s="11">
        <f>B23</f>
        <v/>
      </c>
      <c r="C27" s="11">
        <f>ROUND(B27*(1-$B$13)+C23,0)</f>
        <v/>
      </c>
      <c r="D27" s="11">
        <f>ROUND(C27*(1-$B$13)+D23,0)</f>
        <v/>
      </c>
      <c r="E27" s="11">
        <f>ROUND(D27*(1-$B$13)+E23,0)</f>
        <v/>
      </c>
      <c r="F27" s="11">
        <f>ROUND(E27*(1-$B$13)+F23,0)</f>
        <v/>
      </c>
      <c r="G27" s="11">
        <f>ROUND(F27*(1-$B$13)+G23,0)</f>
        <v/>
      </c>
      <c r="H27" s="11">
        <f>ROUND(G27*(1-$B$13)+H23,0)</f>
        <v/>
      </c>
      <c r="I27" s="11">
        <f>ROUND(H27*(1-$B$13)+I23,0)</f>
        <v/>
      </c>
      <c r="J27" s="11">
        <f>ROUND(I27*(1-$B$13)+J23,0)</f>
        <v/>
      </c>
      <c r="K27" s="11">
        <f>ROUND(J27*(1-$B$13)+K23,0)</f>
        <v/>
      </c>
      <c r="L27" s="11">
        <f>ROUND(K27*(1-$B$13)+L23,0)</f>
        <v/>
      </c>
      <c r="M27" s="11">
        <f>ROUND(L27*(1-$B$13)+M23,0)</f>
        <v/>
      </c>
      <c r="N27" s="11">
        <f>M27</f>
        <v/>
      </c>
    </row>
    <row r="28">
      <c r="A28" s="9" t="inlineStr">
        <is>
          <t>Total Active Customers</t>
        </is>
      </c>
      <c r="B28" s="12">
        <f>B26+B27</f>
        <v/>
      </c>
      <c r="C28" s="12">
        <f>C26+C27</f>
        <v/>
      </c>
      <c r="D28" s="12">
        <f>D26+D27</f>
        <v/>
      </c>
      <c r="E28" s="12">
        <f>E26+E27</f>
        <v/>
      </c>
      <c r="F28" s="12">
        <f>F26+F27</f>
        <v/>
      </c>
      <c r="G28" s="12">
        <f>G26+G27</f>
        <v/>
      </c>
      <c r="H28" s="12">
        <f>H26+H27</f>
        <v/>
      </c>
      <c r="I28" s="12">
        <f>I26+I27</f>
        <v/>
      </c>
      <c r="J28" s="12">
        <f>J26+J27</f>
        <v/>
      </c>
      <c r="K28" s="12">
        <f>K26+K27</f>
        <v/>
      </c>
      <c r="L28" s="12">
        <f>L26+L27</f>
        <v/>
      </c>
      <c r="M28" s="12">
        <f>M26+M27</f>
        <v/>
      </c>
      <c r="N28" s="12">
        <f>M28</f>
        <v/>
      </c>
    </row>
    <row r="29">
      <c r="A29" s="13" t="inlineStr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</row>
    <row r="30">
      <c r="A30" s="9" t="inlineStr">
        <is>
          <t>Partner-Sourced MRR (i360 net)</t>
        </is>
      </c>
      <c r="B30" s="11">
        <f>B26*$B$6*$B$12</f>
        <v/>
      </c>
      <c r="C30" s="11">
        <f>C26*$B$6*$B$12</f>
        <v/>
      </c>
      <c r="D30" s="11">
        <f>D26*$B$6*$B$12</f>
        <v/>
      </c>
      <c r="E30" s="11">
        <f>E26*$B$6*$B$12</f>
        <v/>
      </c>
      <c r="F30" s="11">
        <f>F26*$B$6*$B$12</f>
        <v/>
      </c>
      <c r="G30" s="11">
        <f>G26*$B$6*$B$12</f>
        <v/>
      </c>
      <c r="H30" s="11">
        <f>H26*$B$6*$B$12</f>
        <v/>
      </c>
      <c r="I30" s="11">
        <f>I26*$B$6*$B$12</f>
        <v/>
      </c>
      <c r="J30" s="11">
        <f>J26*$B$6*$B$12</f>
        <v/>
      </c>
      <c r="K30" s="11">
        <f>K26*$B$6*$B$12</f>
        <v/>
      </c>
      <c r="L30" s="11">
        <f>L26*$B$6*$B$12</f>
        <v/>
      </c>
      <c r="M30" s="11">
        <f>M26*$B$6*$B$12</f>
        <v/>
      </c>
      <c r="N30" s="11">
        <f>SUM(B30:M30)</f>
        <v/>
      </c>
    </row>
    <row r="31">
      <c r="A31" s="9" t="inlineStr">
        <is>
          <t>Enterprise Direct MRR</t>
        </is>
      </c>
      <c r="B31" s="11">
        <f>B27*$B$5</f>
        <v/>
      </c>
      <c r="C31" s="11">
        <f>C27*$B$5</f>
        <v/>
      </c>
      <c r="D31" s="11">
        <f>D27*$B$5</f>
        <v/>
      </c>
      <c r="E31" s="11">
        <f>E27*$B$5</f>
        <v/>
      </c>
      <c r="F31" s="11">
        <f>F27*$B$5</f>
        <v/>
      </c>
      <c r="G31" s="11">
        <f>G27*$B$5</f>
        <v/>
      </c>
      <c r="H31" s="11">
        <f>H27*$B$5</f>
        <v/>
      </c>
      <c r="I31" s="11">
        <f>I27*$B$5</f>
        <v/>
      </c>
      <c r="J31" s="11">
        <f>J27*$B$5</f>
        <v/>
      </c>
      <c r="K31" s="11">
        <f>K27*$B$5</f>
        <v/>
      </c>
      <c r="L31" s="11">
        <f>L27*$B$5</f>
        <v/>
      </c>
      <c r="M31" s="11">
        <f>M27*$B$5</f>
        <v/>
      </c>
      <c r="N31" s="11">
        <f>SUM(B31:M31)</f>
        <v/>
      </c>
    </row>
    <row r="32">
      <c r="A32" s="9" t="inlineStr">
        <is>
          <t>Total MRR</t>
        </is>
      </c>
      <c r="B32" s="12">
        <f>B30+B31</f>
        <v/>
      </c>
      <c r="C32" s="12">
        <f>C30+C31</f>
        <v/>
      </c>
      <c r="D32" s="12">
        <f>D30+D31</f>
        <v/>
      </c>
      <c r="E32" s="12">
        <f>E30+E31</f>
        <v/>
      </c>
      <c r="F32" s="12">
        <f>F30+F31</f>
        <v/>
      </c>
      <c r="G32" s="12">
        <f>G30+G31</f>
        <v/>
      </c>
      <c r="H32" s="12">
        <f>H30+H31</f>
        <v/>
      </c>
      <c r="I32" s="12">
        <f>I30+I31</f>
        <v/>
      </c>
      <c r="J32" s="12">
        <f>J30+J31</f>
        <v/>
      </c>
      <c r="K32" s="12">
        <f>K30+K31</f>
        <v/>
      </c>
      <c r="L32" s="12">
        <f>L30+L31</f>
        <v/>
      </c>
      <c r="M32" s="12">
        <f>M30+M31</f>
        <v/>
      </c>
      <c r="N32" s="12">
        <f>SUM(B32:M32)</f>
        <v/>
      </c>
    </row>
    <row r="33">
      <c r="A33" s="13" t="inlineStr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</row>
    <row r="34">
      <c r="A34" s="9" t="inlineStr">
        <is>
          <t>Partner Enablement Costs</t>
        </is>
      </c>
      <c r="B34" s="11">
        <f>B20*$B$15</f>
        <v/>
      </c>
      <c r="C34" s="11">
        <f>C20*$B$15</f>
        <v/>
      </c>
      <c r="D34" s="11">
        <f>D20*$B$15</f>
        <v/>
      </c>
      <c r="E34" s="11">
        <f>E20*$B$15</f>
        <v/>
      </c>
      <c r="F34" s="11">
        <f>F20*$B$15</f>
        <v/>
      </c>
      <c r="G34" s="11">
        <f>G20*$B$15</f>
        <v/>
      </c>
      <c r="H34" s="11">
        <f>H20*$B$15</f>
        <v/>
      </c>
      <c r="I34" s="11">
        <f>I20*$B$15</f>
        <v/>
      </c>
      <c r="J34" s="11">
        <f>J20*$B$15</f>
        <v/>
      </c>
      <c r="K34" s="11">
        <f>K20*$B$15</f>
        <v/>
      </c>
      <c r="L34" s="11">
        <f>L20*$B$15</f>
        <v/>
      </c>
      <c r="M34" s="11">
        <f>M20*$B$15</f>
        <v/>
      </c>
      <c r="N34" s="11">
        <f>SUM(B34:M34)</f>
        <v/>
      </c>
    </row>
    <row r="35">
      <c r="A35" s="9" t="inlineStr">
        <is>
          <t>Enterprise Sales Costs</t>
        </is>
      </c>
      <c r="B35" s="11">
        <f>B23*$B$16</f>
        <v/>
      </c>
      <c r="C35" s="11">
        <f>C23*$B$16</f>
        <v/>
      </c>
      <c r="D35" s="11">
        <f>D23*$B$16</f>
        <v/>
      </c>
      <c r="E35" s="11">
        <f>E23*$B$16</f>
        <v/>
      </c>
      <c r="F35" s="11">
        <f>F23*$B$16</f>
        <v/>
      </c>
      <c r="G35" s="11">
        <f>G23*$B$16</f>
        <v/>
      </c>
      <c r="H35" s="11">
        <f>H23*$B$16</f>
        <v/>
      </c>
      <c r="I35" s="11">
        <f>I23*$B$16</f>
        <v/>
      </c>
      <c r="J35" s="11">
        <f>J23*$B$16</f>
        <v/>
      </c>
      <c r="K35" s="11">
        <f>K23*$B$16</f>
        <v/>
      </c>
      <c r="L35" s="11">
        <f>L23*$B$16</f>
        <v/>
      </c>
      <c r="M35" s="11">
        <f>M23*$B$16</f>
        <v/>
      </c>
      <c r="N35" s="11">
        <f>SUM(B35:M35)</f>
        <v/>
      </c>
    </row>
    <row r="36">
      <c r="A36" s="9" t="inlineStr">
        <is>
          <t>Total Channel Costs</t>
        </is>
      </c>
      <c r="B36" s="11">
        <f>B34+B35</f>
        <v/>
      </c>
      <c r="C36" s="11">
        <f>C34+C35</f>
        <v/>
      </c>
      <c r="D36" s="11">
        <f>D34+D35</f>
        <v/>
      </c>
      <c r="E36" s="11">
        <f>E34+E35</f>
        <v/>
      </c>
      <c r="F36" s="11">
        <f>F34+F35</f>
        <v/>
      </c>
      <c r="G36" s="11">
        <f>G34+G35</f>
        <v/>
      </c>
      <c r="H36" s="11">
        <f>H34+H35</f>
        <v/>
      </c>
      <c r="I36" s="11">
        <f>I34+I35</f>
        <v/>
      </c>
      <c r="J36" s="11">
        <f>J34+J35</f>
        <v/>
      </c>
      <c r="K36" s="11">
        <f>K34+K35</f>
        <v/>
      </c>
      <c r="L36" s="11">
        <f>L34+L35</f>
        <v/>
      </c>
      <c r="M36" s="11">
        <f>M34+M35</f>
        <v/>
      </c>
      <c r="N36" s="11">
        <f>SUM(B36:M36)</f>
        <v/>
      </c>
    </row>
    <row r="37">
      <c r="A37" s="9" t="inlineStr">
        <is>
          <t>Net MRR (after channel costs)</t>
        </is>
      </c>
      <c r="B37" s="11">
        <f>B32-B36</f>
        <v/>
      </c>
      <c r="C37" s="11">
        <f>C32-C36</f>
        <v/>
      </c>
      <c r="D37" s="11">
        <f>D32-D36</f>
        <v/>
      </c>
      <c r="E37" s="11">
        <f>E32-E36</f>
        <v/>
      </c>
      <c r="F37" s="11">
        <f>F32-F36</f>
        <v/>
      </c>
      <c r="G37" s="11">
        <f>G32-G36</f>
        <v/>
      </c>
      <c r="H37" s="11">
        <f>H32-H36</f>
        <v/>
      </c>
      <c r="I37" s="11">
        <f>I32-I36</f>
        <v/>
      </c>
      <c r="J37" s="11">
        <f>J32-J36</f>
        <v/>
      </c>
      <c r="K37" s="11">
        <f>K32-K36</f>
        <v/>
      </c>
      <c r="L37" s="11">
        <f>L32-L36</f>
        <v/>
      </c>
      <c r="M37" s="11">
        <f>M32-M36</f>
        <v/>
      </c>
      <c r="N37" s="11">
        <f>SUM(B37:M37)</f>
        <v/>
      </c>
    </row>
    <row r="38">
      <c r="A38" s="9" t="inlineStr">
        <is>
          <t>Cumulative Revenue</t>
        </is>
      </c>
      <c r="B38" s="12">
        <f>B32</f>
        <v/>
      </c>
      <c r="C38" s="12">
        <f>B38+C32</f>
        <v/>
      </c>
      <c r="D38" s="12">
        <f>C38+D32</f>
        <v/>
      </c>
      <c r="E38" s="12">
        <f>D38+E32</f>
        <v/>
      </c>
      <c r="F38" s="12">
        <f>E38+F32</f>
        <v/>
      </c>
      <c r="G38" s="12">
        <f>F38+G32</f>
        <v/>
      </c>
      <c r="H38" s="12">
        <f>G38+H32</f>
        <v/>
      </c>
      <c r="I38" s="12">
        <f>H38+I32</f>
        <v/>
      </c>
      <c r="J38" s="12">
        <f>I38+J32</f>
        <v/>
      </c>
      <c r="K38" s="12">
        <f>J38+K32</f>
        <v/>
      </c>
      <c r="L38" s="12">
        <f>K38+L32</f>
        <v/>
      </c>
      <c r="M38" s="12">
        <f>L38+M32</f>
        <v/>
      </c>
      <c r="N38" s="12">
        <f>M38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5100"/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COMBINED GTM REVENUE SUMMARY</t>
        </is>
      </c>
    </row>
    <row r="2">
      <c r="A2" s="2" t="inlineStr">
        <is>
          <t>All Three Motions — Year 1 Month-by-Month</t>
        </is>
      </c>
    </row>
    <row r="4">
      <c r="A4" s="8" t="inlineStr">
        <is>
          <t>Metric</t>
        </is>
      </c>
      <c r="B4" s="8" t="inlineStr">
        <is>
          <t>Month 1</t>
        </is>
      </c>
      <c r="C4" s="8" t="inlineStr">
        <is>
          <t>Month 2</t>
        </is>
      </c>
      <c r="D4" s="8" t="inlineStr">
        <is>
          <t>Month 3</t>
        </is>
      </c>
      <c r="E4" s="8" t="inlineStr">
        <is>
          <t>Month 4</t>
        </is>
      </c>
      <c r="F4" s="8" t="inlineStr">
        <is>
          <t>Month 5</t>
        </is>
      </c>
      <c r="G4" s="8" t="inlineStr">
        <is>
          <t>Month 6</t>
        </is>
      </c>
      <c r="H4" s="8" t="inlineStr">
        <is>
          <t>Month 7</t>
        </is>
      </c>
      <c r="I4" s="8" t="inlineStr">
        <is>
          <t>Month 8</t>
        </is>
      </c>
      <c r="J4" s="8" t="inlineStr">
        <is>
          <t>Month 9</t>
        </is>
      </c>
      <c r="K4" s="8" t="inlineStr">
        <is>
          <t>Month 10</t>
        </is>
      </c>
      <c r="L4" s="8" t="inlineStr">
        <is>
          <t>Month 11</t>
        </is>
      </c>
      <c r="M4" s="8" t="inlineStr">
        <is>
          <t>Month 12</t>
        </is>
      </c>
      <c r="N4" s="8" t="inlineStr">
        <is>
          <t>TOTAL Y1</t>
        </is>
      </c>
    </row>
    <row r="5">
      <c r="A5" s="9" t="inlineStr">
        <is>
          <t>Motion A: Agency MRR</t>
        </is>
      </c>
      <c r="B5" s="11">
        <f>'Agency-Led Growth'!B22</f>
        <v/>
      </c>
      <c r="C5" s="11">
        <f>'Agency-Led Growth'!C22</f>
        <v/>
      </c>
      <c r="D5" s="11">
        <f>'Agency-Led Growth'!D22</f>
        <v/>
      </c>
      <c r="E5" s="11">
        <f>'Agency-Led Growth'!E22</f>
        <v/>
      </c>
      <c r="F5" s="11">
        <f>'Agency-Led Growth'!F22</f>
        <v/>
      </c>
      <c r="G5" s="11">
        <f>'Agency-Led Growth'!G22</f>
        <v/>
      </c>
      <c r="H5" s="11">
        <f>'Agency-Led Growth'!H22</f>
        <v/>
      </c>
      <c r="I5" s="11">
        <f>'Agency-Led Growth'!I22</f>
        <v/>
      </c>
      <c r="J5" s="11">
        <f>'Agency-Led Growth'!J22</f>
        <v/>
      </c>
      <c r="K5" s="11">
        <f>'Agency-Led Growth'!K22</f>
        <v/>
      </c>
      <c r="L5" s="11">
        <f>'Agency-Led Growth'!L22</f>
        <v/>
      </c>
      <c r="M5" s="11">
        <f>'Agency-Led Growth'!M22</f>
        <v/>
      </c>
      <c r="N5" s="11">
        <f>'Agency-Led Growth'!N22</f>
        <v/>
      </c>
    </row>
    <row r="6">
      <c r="A6" s="9" t="inlineStr">
        <is>
          <t>Motion B: Content-Led MRR</t>
        </is>
      </c>
      <c r="B6" s="11">
        <f>'Content-Led Growth'!B30</f>
        <v/>
      </c>
      <c r="C6" s="11">
        <f>'Content-Led Growth'!C30</f>
        <v/>
      </c>
      <c r="D6" s="11">
        <f>'Content-Led Growth'!D30</f>
        <v/>
      </c>
      <c r="E6" s="11">
        <f>'Content-Led Growth'!E30</f>
        <v/>
      </c>
      <c r="F6" s="11">
        <f>'Content-Led Growth'!F30</f>
        <v/>
      </c>
      <c r="G6" s="11">
        <f>'Content-Led Growth'!G30</f>
        <v/>
      </c>
      <c r="H6" s="11">
        <f>'Content-Led Growth'!H30</f>
        <v/>
      </c>
      <c r="I6" s="11">
        <f>'Content-Led Growth'!I30</f>
        <v/>
      </c>
      <c r="J6" s="11">
        <f>'Content-Led Growth'!J30</f>
        <v/>
      </c>
      <c r="K6" s="11">
        <f>'Content-Led Growth'!K30</f>
        <v/>
      </c>
      <c r="L6" s="11">
        <f>'Content-Led Growth'!L30</f>
        <v/>
      </c>
      <c r="M6" s="11">
        <f>'Content-Led Growth'!M30</f>
        <v/>
      </c>
      <c r="N6" s="11">
        <f>'Content-Led Growth'!N30</f>
        <v/>
      </c>
    </row>
    <row r="7">
      <c r="A7" s="9" t="inlineStr">
        <is>
          <t>Motion C: Partner/Enterprise MRR</t>
        </is>
      </c>
      <c r="B7" s="11">
        <f>'Partner-Enabled Enterprise'!B32</f>
        <v/>
      </c>
      <c r="C7" s="11">
        <f>'Partner-Enabled Enterprise'!C32</f>
        <v/>
      </c>
      <c r="D7" s="11">
        <f>'Partner-Enabled Enterprise'!D32</f>
        <v/>
      </c>
      <c r="E7" s="11">
        <f>'Partner-Enabled Enterprise'!E32</f>
        <v/>
      </c>
      <c r="F7" s="11">
        <f>'Partner-Enabled Enterprise'!F32</f>
        <v/>
      </c>
      <c r="G7" s="11">
        <f>'Partner-Enabled Enterprise'!G32</f>
        <v/>
      </c>
      <c r="H7" s="11">
        <f>'Partner-Enabled Enterprise'!H32</f>
        <v/>
      </c>
      <c r="I7" s="11">
        <f>'Partner-Enabled Enterprise'!I32</f>
        <v/>
      </c>
      <c r="J7" s="11">
        <f>'Partner-Enabled Enterprise'!J32</f>
        <v/>
      </c>
      <c r="K7" s="11">
        <f>'Partner-Enabled Enterprise'!K32</f>
        <v/>
      </c>
      <c r="L7" s="11">
        <f>'Partner-Enabled Enterprise'!L32</f>
        <v/>
      </c>
      <c r="M7" s="11">
        <f>'Partner-Enabled Enterprise'!M32</f>
        <v/>
      </c>
      <c r="N7" s="11">
        <f>'Partner-Enabled Enterprise'!N32</f>
        <v/>
      </c>
    </row>
    <row r="8">
      <c r="A8" s="9" t="inlineStr">
        <is>
          <t>TOTAL MRR (all motions)</t>
        </is>
      </c>
      <c r="B8" s="12">
        <f>B5+B6+B7</f>
        <v/>
      </c>
      <c r="C8" s="12">
        <f>C5+C6+C7</f>
        <v/>
      </c>
      <c r="D8" s="12">
        <f>D5+D6+D7</f>
        <v/>
      </c>
      <c r="E8" s="12">
        <f>E5+E6+E7</f>
        <v/>
      </c>
      <c r="F8" s="12">
        <f>F5+F6+F7</f>
        <v/>
      </c>
      <c r="G8" s="12">
        <f>G5+G6+G7</f>
        <v/>
      </c>
      <c r="H8" s="12">
        <f>H5+H6+H7</f>
        <v/>
      </c>
      <c r="I8" s="12">
        <f>I5+I6+I7</f>
        <v/>
      </c>
      <c r="J8" s="12">
        <f>J5+J6+J7</f>
        <v/>
      </c>
      <c r="K8" s="12">
        <f>K5+K6+K7</f>
        <v/>
      </c>
      <c r="L8" s="12">
        <f>L5+L6+L7</f>
        <v/>
      </c>
      <c r="M8" s="12">
        <f>M5+M6+M7</f>
        <v/>
      </c>
      <c r="N8" s="12">
        <f>N5+N6+N7</f>
        <v/>
      </c>
    </row>
    <row r="9">
      <c r="A9" s="13" t="inlineStr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</row>
    <row r="10">
      <c r="A10" s="9" t="inlineStr">
        <is>
          <t>Motion A: Agency Services Revenue</t>
        </is>
      </c>
      <c r="B10" s="11">
        <f>'Agency-Led Growth'!B31</f>
        <v/>
      </c>
      <c r="C10" s="11">
        <f>'Agency-Led Growth'!C31</f>
        <v/>
      </c>
      <c r="D10" s="11">
        <f>'Agency-Led Growth'!D31</f>
        <v/>
      </c>
      <c r="E10" s="11">
        <f>'Agency-Led Growth'!E31</f>
        <v/>
      </c>
      <c r="F10" s="11">
        <f>'Agency-Led Growth'!F31</f>
        <v/>
      </c>
      <c r="G10" s="11">
        <f>'Agency-Led Growth'!G31</f>
        <v/>
      </c>
      <c r="H10" s="11">
        <f>'Agency-Led Growth'!H31</f>
        <v/>
      </c>
      <c r="I10" s="11">
        <f>'Agency-Led Growth'!I31</f>
        <v/>
      </c>
      <c r="J10" s="11">
        <f>'Agency-Led Growth'!J31</f>
        <v/>
      </c>
      <c r="K10" s="11">
        <f>'Agency-Led Growth'!K31</f>
        <v/>
      </c>
      <c r="L10" s="11">
        <f>'Agency-Led Growth'!L31</f>
        <v/>
      </c>
      <c r="M10" s="11">
        <f>'Agency-Led Growth'!M31</f>
        <v/>
      </c>
      <c r="N10" s="11">
        <f>'Agency-Led Growth'!N31</f>
        <v/>
      </c>
    </row>
    <row r="11">
      <c r="A11" s="9" t="inlineStr">
        <is>
          <t>Motion B: Marketing Spend</t>
        </is>
      </c>
      <c r="B11" s="11">
        <f>'Content-Led Growth'!B32</f>
        <v/>
      </c>
      <c r="C11" s="11">
        <f>'Content-Led Growth'!C32</f>
        <v/>
      </c>
      <c r="D11" s="11">
        <f>'Content-Led Growth'!D32</f>
        <v/>
      </c>
      <c r="E11" s="11">
        <f>'Content-Led Growth'!E32</f>
        <v/>
      </c>
      <c r="F11" s="11">
        <f>'Content-Led Growth'!F32</f>
        <v/>
      </c>
      <c r="G11" s="11">
        <f>'Content-Led Growth'!G32</f>
        <v/>
      </c>
      <c r="H11" s="11">
        <f>'Content-Led Growth'!H32</f>
        <v/>
      </c>
      <c r="I11" s="11">
        <f>'Content-Led Growth'!I32</f>
        <v/>
      </c>
      <c r="J11" s="11">
        <f>'Content-Led Growth'!J32</f>
        <v/>
      </c>
      <c r="K11" s="11">
        <f>'Content-Led Growth'!K32</f>
        <v/>
      </c>
      <c r="L11" s="11">
        <f>'Content-Led Growth'!L32</f>
        <v/>
      </c>
      <c r="M11" s="11">
        <f>'Content-Led Growth'!M32</f>
        <v/>
      </c>
      <c r="N11" s="11">
        <f>'Content-Led Growth'!N32</f>
        <v/>
      </c>
    </row>
    <row r="12">
      <c r="A12" s="9" t="inlineStr">
        <is>
          <t>Motion C: Channel Costs</t>
        </is>
      </c>
      <c r="B12" s="11">
        <f>'Partner-Enabled Enterprise'!B36</f>
        <v/>
      </c>
      <c r="C12" s="11">
        <f>'Partner-Enabled Enterprise'!C36</f>
        <v/>
      </c>
      <c r="D12" s="11">
        <f>'Partner-Enabled Enterprise'!D36</f>
        <v/>
      </c>
      <c r="E12" s="11">
        <f>'Partner-Enabled Enterprise'!E36</f>
        <v/>
      </c>
      <c r="F12" s="11">
        <f>'Partner-Enabled Enterprise'!F36</f>
        <v/>
      </c>
      <c r="G12" s="11">
        <f>'Partner-Enabled Enterprise'!G36</f>
        <v/>
      </c>
      <c r="H12" s="11">
        <f>'Partner-Enabled Enterprise'!H36</f>
        <v/>
      </c>
      <c r="I12" s="11">
        <f>'Partner-Enabled Enterprise'!I36</f>
        <v/>
      </c>
      <c r="J12" s="11">
        <f>'Partner-Enabled Enterprise'!J36</f>
        <v/>
      </c>
      <c r="K12" s="11">
        <f>'Partner-Enabled Enterprise'!K36</f>
        <v/>
      </c>
      <c r="L12" s="11">
        <f>'Partner-Enabled Enterprise'!L36</f>
        <v/>
      </c>
      <c r="M12" s="11">
        <f>'Partner-Enabled Enterprise'!M36</f>
        <v/>
      </c>
      <c r="N12" s="11">
        <f>'Partner-Enabled Enterprise'!N36</f>
        <v/>
      </c>
    </row>
    <row r="13">
      <c r="A13" s="13" t="inlineStr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</row>
    <row r="14">
      <c r="A14" s="9" t="inlineStr">
        <is>
          <t>Motion A: Cumulative Revenue</t>
        </is>
      </c>
      <c r="B14" s="11">
        <f>'Agency-Led Growth'!B36</f>
        <v/>
      </c>
      <c r="C14" s="11">
        <f>'Agency-Led Growth'!C36</f>
        <v/>
      </c>
      <c r="D14" s="11">
        <f>'Agency-Led Growth'!D36</f>
        <v/>
      </c>
      <c r="E14" s="11">
        <f>'Agency-Led Growth'!E36</f>
        <v/>
      </c>
      <c r="F14" s="11">
        <f>'Agency-Led Growth'!F36</f>
        <v/>
      </c>
      <c r="G14" s="11">
        <f>'Agency-Led Growth'!G36</f>
        <v/>
      </c>
      <c r="H14" s="11">
        <f>'Agency-Led Growth'!H36</f>
        <v/>
      </c>
      <c r="I14" s="11">
        <f>'Agency-Led Growth'!I36</f>
        <v/>
      </c>
      <c r="J14" s="11">
        <f>'Agency-Led Growth'!J36</f>
        <v/>
      </c>
      <c r="K14" s="11">
        <f>'Agency-Led Growth'!K36</f>
        <v/>
      </c>
      <c r="L14" s="11">
        <f>'Agency-Led Growth'!L36</f>
        <v/>
      </c>
      <c r="M14" s="11">
        <f>'Agency-Led Growth'!M36</f>
        <v/>
      </c>
      <c r="N14" s="11">
        <f>'Agency-Led Growth'!N36</f>
        <v/>
      </c>
    </row>
    <row r="15">
      <c r="A15" s="9" t="inlineStr">
        <is>
          <t>Motion B: Cumulative Revenue</t>
        </is>
      </c>
      <c r="B15" s="11">
        <f>'Content-Led Growth'!B35</f>
        <v/>
      </c>
      <c r="C15" s="11">
        <f>'Content-Led Growth'!C35</f>
        <v/>
      </c>
      <c r="D15" s="11">
        <f>'Content-Led Growth'!D35</f>
        <v/>
      </c>
      <c r="E15" s="11">
        <f>'Content-Led Growth'!E35</f>
        <v/>
      </c>
      <c r="F15" s="11">
        <f>'Content-Led Growth'!F35</f>
        <v/>
      </c>
      <c r="G15" s="11">
        <f>'Content-Led Growth'!G35</f>
        <v/>
      </c>
      <c r="H15" s="11">
        <f>'Content-Led Growth'!H35</f>
        <v/>
      </c>
      <c r="I15" s="11">
        <f>'Content-Led Growth'!I35</f>
        <v/>
      </c>
      <c r="J15" s="11">
        <f>'Content-Led Growth'!J35</f>
        <v/>
      </c>
      <c r="K15" s="11">
        <f>'Content-Led Growth'!K35</f>
        <v/>
      </c>
      <c r="L15" s="11">
        <f>'Content-Led Growth'!L35</f>
        <v/>
      </c>
      <c r="M15" s="11">
        <f>'Content-Led Growth'!M35</f>
        <v/>
      </c>
      <c r="N15" s="11">
        <f>'Content-Led Growth'!N35</f>
        <v/>
      </c>
    </row>
    <row r="16">
      <c r="A16" s="9" t="inlineStr">
        <is>
          <t>Motion C: Cumulative Revenue</t>
        </is>
      </c>
      <c r="B16" s="11">
        <f>'Partner-Enabled Enterprise'!B38</f>
        <v/>
      </c>
      <c r="C16" s="11">
        <f>'Partner-Enabled Enterprise'!C38</f>
        <v/>
      </c>
      <c r="D16" s="11">
        <f>'Partner-Enabled Enterprise'!D38</f>
        <v/>
      </c>
      <c r="E16" s="11">
        <f>'Partner-Enabled Enterprise'!E38</f>
        <v/>
      </c>
      <c r="F16" s="11">
        <f>'Partner-Enabled Enterprise'!F38</f>
        <v/>
      </c>
      <c r="G16" s="11">
        <f>'Partner-Enabled Enterprise'!G38</f>
        <v/>
      </c>
      <c r="H16" s="11">
        <f>'Partner-Enabled Enterprise'!H38</f>
        <v/>
      </c>
      <c r="I16" s="11">
        <f>'Partner-Enabled Enterprise'!I38</f>
        <v/>
      </c>
      <c r="J16" s="11">
        <f>'Partner-Enabled Enterprise'!J38</f>
        <v/>
      </c>
      <c r="K16" s="11">
        <f>'Partner-Enabled Enterprise'!K38</f>
        <v/>
      </c>
      <c r="L16" s="11">
        <f>'Partner-Enabled Enterprise'!L38</f>
        <v/>
      </c>
      <c r="M16" s="11">
        <f>'Partner-Enabled Enterprise'!M38</f>
        <v/>
      </c>
      <c r="N16" s="11">
        <f>'Partner-Enabled Enterprise'!N38</f>
        <v/>
      </c>
    </row>
    <row r="17">
      <c r="A17" s="9" t="inlineStr">
        <is>
          <t>TOTAL CUMULATIVE REVENUE</t>
        </is>
      </c>
      <c r="B17" s="12">
        <f>B14+B15+B16</f>
        <v/>
      </c>
      <c r="C17" s="12">
        <f>C14+C15+C16</f>
        <v/>
      </c>
      <c r="D17" s="12">
        <f>D14+D15+D16</f>
        <v/>
      </c>
      <c r="E17" s="12">
        <f>E14+E15+E16</f>
        <v/>
      </c>
      <c r="F17" s="12">
        <f>F14+F15+F16</f>
        <v/>
      </c>
      <c r="G17" s="12">
        <f>G14+G15+G16</f>
        <v/>
      </c>
      <c r="H17" s="12">
        <f>H14+H15+H16</f>
        <v/>
      </c>
      <c r="I17" s="12">
        <f>I14+I15+I16</f>
        <v/>
      </c>
      <c r="J17" s="12">
        <f>J14+J15+J16</f>
        <v/>
      </c>
      <c r="K17" s="12">
        <f>K14+K15+K16</f>
        <v/>
      </c>
      <c r="L17" s="12">
        <f>L14+L15+L16</f>
        <v/>
      </c>
      <c r="M17" s="12">
        <f>M14+M15+M16</f>
        <v/>
      </c>
      <c r="N17" s="12">
        <f>N14+N15+N16</f>
        <v/>
      </c>
    </row>
    <row r="18">
      <c r="A18" s="13" t="inlineStr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>
      <c r="A19" s="9" t="inlineStr">
        <is>
          <t>Motion A: Agencies (cumulative)</t>
        </is>
      </c>
      <c r="B19" s="11">
        <f>'Agency-Led Growth'!B19</f>
        <v/>
      </c>
      <c r="C19" s="11">
        <f>'Agency-Led Growth'!C19</f>
        <v/>
      </c>
      <c r="D19" s="11">
        <f>'Agency-Led Growth'!D19</f>
        <v/>
      </c>
      <c r="E19" s="11">
        <f>'Agency-Led Growth'!E19</f>
        <v/>
      </c>
      <c r="F19" s="11">
        <f>'Agency-Led Growth'!F19</f>
        <v/>
      </c>
      <c r="G19" s="11">
        <f>'Agency-Led Growth'!G19</f>
        <v/>
      </c>
      <c r="H19" s="11">
        <f>'Agency-Led Growth'!H19</f>
        <v/>
      </c>
      <c r="I19" s="11">
        <f>'Agency-Led Growth'!I19</f>
        <v/>
      </c>
      <c r="J19" s="11">
        <f>'Agency-Led Growth'!J19</f>
        <v/>
      </c>
      <c r="K19" s="11">
        <f>'Agency-Led Growth'!K19</f>
        <v/>
      </c>
      <c r="L19" s="11">
        <f>'Agency-Led Growth'!L19</f>
        <v/>
      </c>
      <c r="M19" s="11">
        <f>'Agency-Led Growth'!M19</f>
        <v/>
      </c>
      <c r="N19" s="11">
        <f>'Agency-Led Growth'!N19</f>
        <v/>
      </c>
    </row>
    <row r="20">
      <c r="A20" s="9" t="inlineStr">
        <is>
          <t>Motion B: Total Customers</t>
        </is>
      </c>
      <c r="B20" s="11">
        <f>'Content-Led Growth'!B26</f>
        <v/>
      </c>
      <c r="C20" s="11">
        <f>'Content-Led Growth'!C26</f>
        <v/>
      </c>
      <c r="D20" s="11">
        <f>'Content-Led Growth'!D26</f>
        <v/>
      </c>
      <c r="E20" s="11">
        <f>'Content-Led Growth'!E26</f>
        <v/>
      </c>
      <c r="F20" s="11">
        <f>'Content-Led Growth'!F26</f>
        <v/>
      </c>
      <c r="G20" s="11">
        <f>'Content-Led Growth'!G26</f>
        <v/>
      </c>
      <c r="H20" s="11">
        <f>'Content-Led Growth'!H26</f>
        <v/>
      </c>
      <c r="I20" s="11">
        <f>'Content-Led Growth'!I26</f>
        <v/>
      </c>
      <c r="J20" s="11">
        <f>'Content-Led Growth'!J26</f>
        <v/>
      </c>
      <c r="K20" s="11">
        <f>'Content-Led Growth'!K26</f>
        <v/>
      </c>
      <c r="L20" s="11">
        <f>'Content-Led Growth'!L26</f>
        <v/>
      </c>
      <c r="M20" s="11">
        <f>'Content-Led Growth'!M26</f>
        <v/>
      </c>
      <c r="N20" s="11">
        <f>'Content-Led Growth'!N26</f>
        <v/>
      </c>
    </row>
    <row r="21">
      <c r="A21" s="9" t="inlineStr">
        <is>
          <t>Motion C: Total Customers</t>
        </is>
      </c>
      <c r="B21" s="11">
        <f>'Partner-Enabled Enterprise'!B28</f>
        <v/>
      </c>
      <c r="C21" s="11">
        <f>'Partner-Enabled Enterprise'!C28</f>
        <v/>
      </c>
      <c r="D21" s="11">
        <f>'Partner-Enabled Enterprise'!D28</f>
        <v/>
      </c>
      <c r="E21" s="11">
        <f>'Partner-Enabled Enterprise'!E28</f>
        <v/>
      </c>
      <c r="F21" s="11">
        <f>'Partner-Enabled Enterprise'!F28</f>
        <v/>
      </c>
      <c r="G21" s="11">
        <f>'Partner-Enabled Enterprise'!G28</f>
        <v/>
      </c>
      <c r="H21" s="11">
        <f>'Partner-Enabled Enterprise'!H28</f>
        <v/>
      </c>
      <c r="I21" s="11">
        <f>'Partner-Enabled Enterprise'!I28</f>
        <v/>
      </c>
      <c r="J21" s="11">
        <f>'Partner-Enabled Enterprise'!J28</f>
        <v/>
      </c>
      <c r="K21" s="11">
        <f>'Partner-Enabled Enterprise'!K28</f>
        <v/>
      </c>
      <c r="L21" s="11">
        <f>'Partner-Enabled Enterprise'!L28</f>
        <v/>
      </c>
      <c r="M21" s="11">
        <f>'Partner-Enabled Enterprise'!M28</f>
        <v/>
      </c>
      <c r="N21" s="11">
        <f>'Partner-Enabled Enterprise'!N28</f>
        <v/>
      </c>
    </row>
    <row r="22">
      <c r="A22" s="9" t="inlineStr">
        <is>
          <t>TOTAL CUSTOMERS</t>
        </is>
      </c>
      <c r="B22" s="12">
        <f>B19+B20+B21</f>
        <v/>
      </c>
      <c r="C22" s="12">
        <f>C19+C20+C21</f>
        <v/>
      </c>
      <c r="D22" s="12">
        <f>D19+D20+D21</f>
        <v/>
      </c>
      <c r="E22" s="12">
        <f>E19+E20+E21</f>
        <v/>
      </c>
      <c r="F22" s="12">
        <f>F19+F20+F21</f>
        <v/>
      </c>
      <c r="G22" s="12">
        <f>G19+G20+G21</f>
        <v/>
      </c>
      <c r="H22" s="12">
        <f>H19+H20+H21</f>
        <v/>
      </c>
      <c r="I22" s="12">
        <f>I19+I20+I21</f>
        <v/>
      </c>
      <c r="J22" s="12">
        <f>J19+J20+J21</f>
        <v/>
      </c>
      <c r="K22" s="12">
        <f>K19+K20+K21</f>
        <v/>
      </c>
      <c r="L22" s="12">
        <f>L19+L20+L21</f>
        <v/>
      </c>
      <c r="M22" s="12">
        <f>M19+M20+M21</f>
        <v/>
      </c>
      <c r="N22" s="12">
        <f>N19+N20+N21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2026-02-03T00:32:04Z</dcterms:created>
  <dcterms:modified xmlns:dcterms="http://purl.org/dc/terms/" xmlns:xsi="http://www.w3.org/2001/XMLSchema-instance" xsi:type="dcterms:W3CDTF">2026-02-03T00:32:04Z</dcterms:modified>
</cp:coreProperties>
</file>